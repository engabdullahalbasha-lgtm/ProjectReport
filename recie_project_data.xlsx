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fig" sheetId="2" state="visible" r:id="rId4"/>
    <sheet name="Sectors" sheetId="3" state="visible" r:id="rId5"/>
    <sheet name="Governorates" sheetId="4" state="visible" r:id="rId6"/>
    <sheet name="Indicators" sheetId="5" state="visible" r:id="rId7"/>
    <sheet name="Indicator_Data" sheetId="6" state="visible" r:id="rId8"/>
    <sheet name="Activities" sheetId="7" state="visible" r:id="rId9"/>
    <sheet name="Activity_Data" sheetId="8" state="visible" r:id="rId10"/>
    <sheet name="Allocations" sheetId="9" state="visible" r:id="rId11"/>
    <sheet name="Updates" sheetId="10" state="visible" r:id="rId12"/>
    <sheet name="Summary" sheetId="11" state="visible" r:id="rId13"/>
  </sheets>
  <definedNames>
    <definedName function="false" hidden="true" localSheetId="7" name="_xlnm._FilterDatabase" vbProcedure="false">Activity_Data!$A$3:$I$59</definedName>
    <definedName function="false" hidden="true" localSheetId="8" name="_xlnm._FilterDatabase" vbProcedure="false">Allocations!$A$3:$I$38</definedName>
    <definedName function="false" hidden="true" localSheetId="5" name="_xlnm._FilterDatabase" vbProcedure="false">Indicator_Data!$A$3:$G$52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<sst xmlns="http://schemas.openxmlformats.org/spreadsheetml/2006/main" count="613" uniqueCount="202">
  <si>
    <t xml:space="preserve">دليل ملف البيانات</t>
  </si>
  <si>
    <t xml:space="preserve">الورقة</t>
  </si>
  <si>
    <t xml:space="preserve">ما الذي تحتويه / كيف تُحدَّث</t>
  </si>
  <si>
    <t xml:space="preserve">Config</t>
  </si>
  <si>
    <t xml:space="preserve">اسم المشروع والمانح والشريك والتواريخ.</t>
  </si>
  <si>
    <t xml:space="preserve">Sectors</t>
  </si>
  <si>
    <t xml:space="preserve">القطاعات وألوانها.</t>
  </si>
  <si>
    <t xml:space="preserve">Governorates</t>
  </si>
  <si>
    <t xml:space="preserve">المحافظات. يمكن كتابة ملاحظة لكل محافظة في Note_AR / Note_EN وستظهر في الموقع عند اختيارها.</t>
  </si>
  <si>
    <t xml:space="preserve">Indicators</t>
  </si>
  <si>
    <t xml:space="preserve">تعريف المؤشرات فقط (الاسم والقطاع والوحدة). الأعمدة الرمادية محسوبة تلقائيًا.</t>
  </si>
  <si>
    <t xml:space="preserve">Indicator_Data</t>
  </si>
  <si>
    <t xml:space="preserve">هدف وإنجاز كل مؤشر لكل محافظة (صف لكل محافظة × مؤشر). هنا تُدخل الأرقام.</t>
  </si>
  <si>
    <t xml:space="preserve">Activities</t>
  </si>
  <si>
    <t xml:space="preserve">تعريف الأنشطة فقط. الأعمدة الرمادية مجاميع محسوبة.</t>
  </si>
  <si>
    <t xml:space="preserve">Activity_Data</t>
  </si>
  <si>
    <t xml:space="preserve">ميزانية وهدف وإنجاز وحالة كل نشاط لكل محافظة (صف لكل محافظة × نشاط). الحالة: Planned أو Ongoing أو Completed.</t>
  </si>
  <si>
    <t xml:space="preserve">Allocations</t>
  </si>
  <si>
    <t xml:space="preserve">أهداف وإنجاز الأفراد والأنشطة لكل محافظة وقطاع.</t>
  </si>
  <si>
    <t xml:space="preserve">Updates</t>
  </si>
  <si>
    <t xml:space="preserve">الأخبار. ضع الرابط في URL واجعل Published = Yes.</t>
  </si>
  <si>
    <t xml:space="preserve">Summary</t>
  </si>
  <si>
    <t xml:space="preserve">ملخص محسوب بالمعادلات لكل محافظة ولكل قطاع. لا يقرؤه الموقع.</t>
  </si>
  <si>
    <t xml:space="preserve">قواعد عامة</t>
  </si>
  <si>
    <t xml:space="preserve">الخلايا الرمادية</t>
  </si>
  <si>
    <t xml:space="preserve">معادلات محسوبة، لا تعدّلها.</t>
  </si>
  <si>
    <t xml:space="preserve">محافظة جديدة</t>
  </si>
  <si>
    <t xml:space="preserve">أضفها في Governorates ثم أضف صفوفها في Indicator_Data وActivity_Data وAllocations. وسّع صفوف Summary إن لزم.</t>
  </si>
  <si>
    <t xml:space="preserve">لا تغيّر</t>
  </si>
  <si>
    <t xml:space="preserve">أسماء الأوراق ولا رؤوس الأعمدة (الصف الثالث) ولا قيم ID بعد استخدامها.</t>
  </si>
  <si>
    <t xml:space="preserve">تنبيه مهم</t>
  </si>
  <si>
    <t xml:space="preserve">الأرقام الحالية في Indicator_Data وActivity_Data قيم أولية: وُزّعت أرقام المشروع الأصلية على المحافظات بالتناسب مع أهداف الأفراد في Allocations (والإنجاز على المحافظات التي بدأ فيها التنفيذ). استبدلها بالأرقام الفعلية لكل محافظة.</t>
  </si>
  <si>
    <t xml:space="preserve">إنجاز المؤشرات الأصلي (مثل 3000 طفل في التعليم) لا يطابق مجموع الإنجاز في Allocations (417)، لذلك يتجاوز بعض المؤشرات هدفه في المحافظات التي بدأت. راجع الأرقام.</t>
  </si>
  <si>
    <t xml:space="preserve">Key</t>
  </si>
  <si>
    <t xml:space="preserve">Arabic</t>
  </si>
  <si>
    <t xml:space="preserve">English</t>
  </si>
  <si>
    <t xml:space="preserve">ProjectName</t>
  </si>
  <si>
    <t xml:space="preserve">الوصول لكل طفل في حالات الطوارئ</t>
  </si>
  <si>
    <t xml:space="preserve">Reaching Every Child In Emergencies</t>
  </si>
  <si>
    <t xml:space="preserve">Donor</t>
  </si>
  <si>
    <t xml:space="preserve">منظمة الأمم المتحدة للطفولة - يونيسف</t>
  </si>
  <si>
    <t xml:space="preserve">United Nations Children’s Fund - UNICEF</t>
  </si>
  <si>
    <t xml:space="preserve">Partner</t>
  </si>
  <si>
    <t xml:space="preserve">منظمة صناع النهضة</t>
  </si>
  <si>
    <t xml:space="preserve">Nahda Makers Organization</t>
  </si>
  <si>
    <t xml:space="preserve">StartDate</t>
  </si>
  <si>
    <t xml:space="preserve">27 أغسطس 2026</t>
  </si>
  <si>
    <t xml:space="preserve">27 August 2026</t>
  </si>
  <si>
    <t xml:space="preserve">EndDate</t>
  </si>
  <si>
    <t xml:space="preserve">31 ديسمبر 2027</t>
  </si>
  <si>
    <t xml:space="preserve">31 December 2027</t>
  </si>
  <si>
    <t xml:space="preserve">LastUpdated</t>
  </si>
  <si>
    <t xml:space="preserve">10 أكتوبر 2026</t>
  </si>
  <si>
    <t xml:space="preserve">10 October 2026</t>
  </si>
  <si>
    <t xml:space="preserve">ID</t>
  </si>
  <si>
    <t xml:space="preserve">Color</t>
  </si>
  <si>
    <t xml:space="preserve">ALL</t>
  </si>
  <si>
    <t xml:space="preserve">جميع القطاعات</t>
  </si>
  <si>
    <t xml:space="preserve">All Sectors</t>
  </si>
  <si>
    <t xml:space="preserve">#009FE3</t>
  </si>
  <si>
    <t xml:space="preserve">EDU</t>
  </si>
  <si>
    <t xml:space="preserve">التعليم</t>
  </si>
  <si>
    <t xml:space="preserve">Education</t>
  </si>
  <si>
    <t xml:space="preserve">#168CE5</t>
  </si>
  <si>
    <t xml:space="preserve">CP</t>
  </si>
  <si>
    <t xml:space="preserve">حماية الطفل</t>
  </si>
  <si>
    <t xml:space="preserve">Child Protection</t>
  </si>
  <si>
    <t xml:space="preserve">#7357C8</t>
  </si>
  <si>
    <t xml:space="preserve">WATER</t>
  </si>
  <si>
    <t xml:space="preserve">المياه</t>
  </si>
  <si>
    <t xml:space="preserve">Water Supply</t>
  </si>
  <si>
    <t xml:space="preserve">#20B8C1</t>
  </si>
  <si>
    <t xml:space="preserve">SAN</t>
  </si>
  <si>
    <t xml:space="preserve">الإصحاح والنظافة</t>
  </si>
  <si>
    <t xml:space="preserve">Sanitation &amp; Hygiene</t>
  </si>
  <si>
    <t xml:space="preserve">#2AAE72</t>
  </si>
  <si>
    <t xml:space="preserve">SBC</t>
  </si>
  <si>
    <t xml:space="preserve">التغيير الاجتماعي والسلوكي</t>
  </si>
  <si>
    <t xml:space="preserve">Social &amp; Behaviour Change</t>
  </si>
  <si>
    <t xml:space="preserve">#F2A528</t>
  </si>
  <si>
    <t xml:space="preserve">Note_AR</t>
  </si>
  <si>
    <t xml:space="preserve">Note_EN</t>
  </si>
  <si>
    <t xml:space="preserve">جميع المحافظات</t>
  </si>
  <si>
    <t xml:space="preserve">All Governorates</t>
  </si>
  <si>
    <t xml:space="preserve">ABY</t>
  </si>
  <si>
    <t xml:space="preserve">أبين</t>
  </si>
  <si>
    <t xml:space="preserve">Abyan</t>
  </si>
  <si>
    <t xml:space="preserve">TAI</t>
  </si>
  <si>
    <t xml:space="preserve">تعز</t>
  </si>
  <si>
    <t xml:space="preserve">Taiz</t>
  </si>
  <si>
    <t xml:space="preserve">DAL</t>
  </si>
  <si>
    <t xml:space="preserve">الضالع</t>
  </si>
  <si>
    <t xml:space="preserve">Ad Dali</t>
  </si>
  <si>
    <t xml:space="preserve">HOD</t>
  </si>
  <si>
    <t xml:space="preserve">الحديدة</t>
  </si>
  <si>
    <t xml:space="preserve">Al Hodeidah</t>
  </si>
  <si>
    <t xml:space="preserve">SHB</t>
  </si>
  <si>
    <t xml:space="preserve">شبوة</t>
  </si>
  <si>
    <t xml:space="preserve">Shabwah</t>
  </si>
  <si>
    <t xml:space="preserve">ADE</t>
  </si>
  <si>
    <t xml:space="preserve">عدن</t>
  </si>
  <si>
    <t xml:space="preserve">Aden</t>
  </si>
  <si>
    <t xml:space="preserve">LAH</t>
  </si>
  <si>
    <t xml:space="preserve">لحج</t>
  </si>
  <si>
    <t xml:space="preserve">Lahj</t>
  </si>
  <si>
    <t xml:space="preserve">SectorID</t>
  </si>
  <si>
    <t xml:space="preserve">Unit_AR</t>
  </si>
  <si>
    <t xml:space="preserve">Unit_EN</t>
  </si>
  <si>
    <t xml:space="preserve">Target_Total</t>
  </si>
  <si>
    <t xml:space="preserve">Actual_Total</t>
  </si>
  <si>
    <t xml:space="preserve">Progress</t>
  </si>
  <si>
    <t xml:space="preserve">I01</t>
  </si>
  <si>
    <t xml:space="preserve">الأطفال الذين حصلوا على فرص تعليم آمنة</t>
  </si>
  <si>
    <t xml:space="preserve">Children accessing safe education opportunities</t>
  </si>
  <si>
    <t xml:space="preserve">طفل</t>
  </si>
  <si>
    <t xml:space="preserve">Children</t>
  </si>
  <si>
    <t xml:space="preserve">I02</t>
  </si>
  <si>
    <t xml:space="preserve">المعلمون المدرّبون والمتلقون للحوافز</t>
  </si>
  <si>
    <t xml:space="preserve">Teachers trained and receiving incentives</t>
  </si>
  <si>
    <t xml:space="preserve">معلم</t>
  </si>
  <si>
    <t xml:space="preserve">Teachers</t>
  </si>
  <si>
    <t xml:space="preserve">I03</t>
  </si>
  <si>
    <t xml:space="preserve">الأطفال المستفيدون من إدارة الحالة</t>
  </si>
  <si>
    <t xml:space="preserve">Children receiving case management</t>
  </si>
  <si>
    <t xml:space="preserve">I04</t>
  </si>
  <si>
    <t xml:space="preserve">الأشخاص المشاركون في التوعية بالحماية</t>
  </si>
  <si>
    <t xml:space="preserve">People reached through protection awareness</t>
  </si>
  <si>
    <t xml:space="preserve">شخص</t>
  </si>
  <si>
    <t xml:space="preserve">People</t>
  </si>
  <si>
    <t xml:space="preserve">I05</t>
  </si>
  <si>
    <t xml:space="preserve">الأشخاص المستفيدون من خدمات المياه</t>
  </si>
  <si>
    <t xml:space="preserve">People reached with water services</t>
  </si>
  <si>
    <t xml:space="preserve">I06</t>
  </si>
  <si>
    <t xml:space="preserve">المتطوعون المجتمعيون المدرّبون</t>
  </si>
  <si>
    <t xml:space="preserve">Community volunteers trained</t>
  </si>
  <si>
    <t xml:space="preserve">متطوع</t>
  </si>
  <si>
    <t xml:space="preserve">Volunteers</t>
  </si>
  <si>
    <t xml:space="preserve">I07</t>
  </si>
  <si>
    <t xml:space="preserve">المستفيدون من خدمات الإصحاح والنظافة</t>
  </si>
  <si>
    <t xml:space="preserve">People accessing sanitation and hygiene services</t>
  </si>
  <si>
    <t xml:space="preserve">GovernorateID</t>
  </si>
  <si>
    <t xml:space="preserve">IndicatorID</t>
  </si>
  <si>
    <t xml:space="preserve">Target</t>
  </si>
  <si>
    <t xml:space="preserve">Actual</t>
  </si>
  <si>
    <t xml:space="preserve">Governorate</t>
  </si>
  <si>
    <t xml:space="preserve">Indicator</t>
  </si>
  <si>
    <t xml:space="preserve">Budget_Total</t>
  </si>
  <si>
    <t xml:space="preserve">A01</t>
  </si>
  <si>
    <t xml:space="preserve">المشاركة المجتمعية وتفعيل لجان التعليم</t>
  </si>
  <si>
    <t xml:space="preserve">Community engagement and education committees</t>
  </si>
  <si>
    <t xml:space="preserve">A02</t>
  </si>
  <si>
    <t xml:space="preserve">التعليم الاستدراكي وبناء قدرات المعلمين</t>
  </si>
  <si>
    <t xml:space="preserve">Catch-up learning and teacher capacity building</t>
  </si>
  <si>
    <t xml:space="preserve">A03</t>
  </si>
  <si>
    <t xml:space="preserve">حقائب التعلم ومساحات التعلم المؤقتة</t>
  </si>
  <si>
    <t xml:space="preserve">Learning kits and temporary learning spaces</t>
  </si>
  <si>
    <t xml:space="preserve">A04</t>
  </si>
  <si>
    <t xml:space="preserve">التوعية بمخاطر الذخائر المتفجرة</t>
  </si>
  <si>
    <t xml:space="preserve">Explosive ordnance risk education</t>
  </si>
  <si>
    <t xml:space="preserve">A05</t>
  </si>
  <si>
    <t xml:space="preserve">الدعم النفسي والاجتماعي وإدارة الحالة</t>
  </si>
  <si>
    <t xml:space="preserve">Psychosocial support and case management</t>
  </si>
  <si>
    <t xml:space="preserve">A06</t>
  </si>
  <si>
    <t xml:space="preserve">تأهيل نقاط ومصادر المياه</t>
  </si>
  <si>
    <t xml:space="preserve">Rehabilitation of water points and sources</t>
  </si>
  <si>
    <t xml:space="preserve">A07</t>
  </si>
  <si>
    <t xml:space="preserve">تدريب المتطوعين والتوعية المجتمعية</t>
  </si>
  <si>
    <t xml:space="preserve">Volunteer training and community outreach</t>
  </si>
  <si>
    <t xml:space="preserve">A08</t>
  </si>
  <si>
    <t xml:space="preserve">توزيع حقائب النظافة</t>
  </si>
  <si>
    <t xml:space="preserve">Distribution of hygiene kits</t>
  </si>
  <si>
    <t xml:space="preserve">ActivityID</t>
  </si>
  <si>
    <t xml:space="preserve">Budget_USD</t>
  </si>
  <si>
    <t xml:space="preserve">Status</t>
  </si>
  <si>
    <t xml:space="preserve">Activity</t>
  </si>
  <si>
    <t xml:space="preserve">Planned</t>
  </si>
  <si>
    <t xml:space="preserve">People_Target</t>
  </si>
  <si>
    <t xml:space="preserve">People_Actual</t>
  </si>
  <si>
    <t xml:space="preserve">Activities_Target</t>
  </si>
  <si>
    <t xml:space="preserve">Activities_Actual</t>
  </si>
  <si>
    <t xml:space="preserve">Sector</t>
  </si>
  <si>
    <t xml:space="preserve">People_Progress</t>
  </si>
  <si>
    <t xml:space="preserve">Date_AR</t>
  </si>
  <si>
    <t xml:space="preserve">Date_EN</t>
  </si>
  <si>
    <t xml:space="preserve">Title_AR</t>
  </si>
  <si>
    <t xml:space="preserve">Title_EN</t>
  </si>
  <si>
    <t xml:space="preserve">Summary_AR</t>
  </si>
  <si>
    <t xml:space="preserve">Summary_EN</t>
  </si>
  <si>
    <t xml:space="preserve">URL</t>
  </si>
  <si>
    <t xml:space="preserve">Published</t>
  </si>
  <si>
    <t xml:space="preserve">U001</t>
  </si>
  <si>
    <t xml:space="preserve">إطلاق لوحة متابعة المشروع</t>
  </si>
  <si>
    <t xml:space="preserve">Project dashboard launched</t>
  </si>
  <si>
    <t xml:space="preserve">تعرف على معلومات المشروع ومؤشراته وأنشطته.</t>
  </si>
  <si>
    <t xml:space="preserve">Explore project information, indicators and activities.</t>
  </si>
  <si>
    <t xml:space="preserve">https://nahdamakers.org/</t>
  </si>
  <si>
    <t xml:space="preserve">Yes</t>
  </si>
  <si>
    <t xml:space="preserve">U002</t>
  </si>
  <si>
    <t xml:space="preserve">No</t>
  </si>
  <si>
    <t xml:space="preserve">Total</t>
  </si>
  <si>
    <t xml:space="preserve">By sector</t>
  </si>
  <si>
    <t xml:space="preserve">All cells on this sheet are formulas calculated from Allocations and Activity_Data. The website does not read this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</si>
</sst>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%"/>
    <numFmt numFmtId="167" formatCode="#,##0.00"/>
  </numFmts>
  <fonts count="11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5A6B75"/>
      <name val="Arial"/>
      <family val="0"/>
      <charset val="1"/>
    </font>
    <font>
      <i val="true"/>
      <sz val="11"/>
      <color rgb="FF5A6B7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9FE3"/>
        <bgColor rgb="FF008080"/>
      </patternFill>
    </fill>
    <fill>
      <patternFill patternType="solid">
        <fgColor rgb="FFEEF3F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9F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3F6"/>
          <bgColor rgb="FF000000"/>
        </patternFill>
      </fill>
    </dxf>
    <dxf>
      <fill>
        <patternFill patternType="solid">
          <fgColor rgb="FF5A6B75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FE3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3" t="s">
        <v>19</v>
      </c>
      <c r="B12" s="4" t="s">
        <v>20</v>
      </c>
    </row>
    <row r="13" customFormat="false" ht="15" hidden="false" customHeight="false" outlineLevel="0" collapsed="false">
      <c r="A13" s="3" t="s">
        <v>21</v>
      </c>
      <c r="B13" s="4" t="s">
        <v>22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5" t="s">
        <v>23</v>
      </c>
      <c r="B15" s="4"/>
    </row>
    <row r="16" customFormat="false" ht="15" hidden="false" customHeight="false" outlineLevel="0" collapsed="false">
      <c r="A16" s="3" t="s">
        <v>24</v>
      </c>
      <c r="B16" s="4" t="s">
        <v>25</v>
      </c>
    </row>
    <row r="17" customFormat="false" ht="15" hidden="false" customHeight="false" outlineLevel="0" collapsed="false">
      <c r="A17" s="3" t="s">
        <v>26</v>
      </c>
      <c r="B17" s="4" t="s">
        <v>27</v>
      </c>
    </row>
    <row r="18" customFormat="false" ht="15" hidden="false" customHeight="false" outlineLevel="0" collapsed="false">
      <c r="A18" s="3" t="s">
        <v>28</v>
      </c>
      <c r="B18" s="4" t="s">
        <v>29</v>
      </c>
    </row>
    <row r="19" customFormat="false" ht="15" hidden="false" customHeight="false" outlineLevel="0" collapsed="false">
      <c r="A19" s="3"/>
      <c r="B19" s="4"/>
    </row>
    <row r="20" customFormat="false" ht="26.85" hidden="false" customHeight="false" outlineLevel="0" collapsed="false">
      <c r="A20" s="3" t="s">
        <v>30</v>
      </c>
      <c r="B20" s="4" t="s">
        <v>31</v>
      </c>
    </row>
    <row r="21" customFormat="false" ht="26.85" hidden="false" customHeight="false" outlineLevel="0" collapsed="false">
      <c r="A21" s="3" t="s">
        <v>30</v>
      </c>
      <c r="B21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41"/>
  </cols>
  <sheetData>
    <row r="1" customFormat="false" ht="13.5" hidden="false" customHeight="false" outlineLevel="0" collapsed="false">
      <c r="A1" s="0" t="s">
        <v>3</v>
      </c>
    </row>
    <row r="3" customFormat="false" ht="13.5" hidden="false" customHeight="false" outlineLevel="0" collapsed="false">
      <c r="A3" s="6" t="s">
        <v>33</v>
      </c>
      <c r="B3" s="6" t="s">
        <v>34</v>
      </c>
      <c r="C3" s="6" t="s">
        <v>35</v>
      </c>
    </row>
    <row r="4" customFormat="false" ht="13.5" hidden="false" customHeight="false" outlineLevel="0" collapsed="false">
      <c r="A4" s="0" t="s">
        <v>36</v>
      </c>
      <c r="B4" s="0" t="s">
        <v>37</v>
      </c>
      <c r="C4" s="0" t="s">
        <v>38</v>
      </c>
    </row>
    <row r="5" customFormat="false" ht="13.5" hidden="false" customHeight="false" outlineLevel="0" collapsed="false">
      <c r="A5" s="0" t="s">
        <v>39</v>
      </c>
      <c r="B5" s="0" t="s">
        <v>40</v>
      </c>
      <c r="C5" s="0" t="s">
        <v>41</v>
      </c>
    </row>
    <row r="6" customFormat="false" ht="13.5" hidden="false" customHeight="false" outlineLevel="0" collapsed="false">
      <c r="A6" s="0" t="s">
        <v>42</v>
      </c>
      <c r="B6" s="0" t="s">
        <v>43</v>
      </c>
      <c r="C6" s="0" t="s">
        <v>44</v>
      </c>
    </row>
    <row r="7" customFormat="false" ht="13.5" hidden="false" customHeight="false" outlineLevel="0" collapsed="false">
      <c r="A7" s="0" t="s">
        <v>45</v>
      </c>
      <c r="B7" s="0" t="s">
        <v>46</v>
      </c>
      <c r="C7" s="0" t="s">
        <v>47</v>
      </c>
    </row>
    <row r="8" customFormat="false" ht="13.5" hidden="false" customHeight="false" outlineLevel="0" collapsed="false">
      <c r="A8" s="0" t="s">
        <v>48</v>
      </c>
      <c r="B8" s="0" t="s">
        <v>49</v>
      </c>
      <c r="C8" s="0" t="s">
        <v>50</v>
      </c>
    </row>
    <row r="9" customFormat="false" ht="13.5" hidden="false" customHeight="false" outlineLevel="0" collapsed="false">
      <c r="A9" s="0" t="s">
        <v>51</v>
      </c>
      <c r="B9" s="0" t="s">
        <v>52</v>
      </c>
      <c r="C9" s="0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27"/>
    <col collapsed="false" customWidth="true" hidden="false" outlineLevel="0" max="4" min="4" style="0" width="13"/>
  </cols>
  <sheetData>
    <row r="1" customFormat="false" ht="13.5" hidden="false" customHeight="false" outlineLevel="0" collapsed="false">
      <c r="A1" s="0" t="s">
        <v>5</v>
      </c>
    </row>
    <row r="3" customFormat="false" ht="13.5" hidden="false" customHeight="false" outlineLevel="0" collapsed="false">
      <c r="A3" s="6" t="s">
        <v>54</v>
      </c>
      <c r="B3" s="6" t="s">
        <v>34</v>
      </c>
      <c r="C3" s="6" t="s">
        <v>35</v>
      </c>
      <c r="D3" s="6" t="s">
        <v>55</v>
      </c>
    </row>
    <row r="4" customFormat="false" ht="13.5" hidden="false" customHeight="false" outlineLevel="0" collapsed="false">
      <c r="A4" s="0" t="s">
        <v>56</v>
      </c>
      <c r="B4" s="0" t="s">
        <v>57</v>
      </c>
      <c r="C4" s="0" t="s">
        <v>58</v>
      </c>
      <c r="D4" s="0" t="s">
        <v>59</v>
      </c>
    </row>
    <row r="5" customFormat="false" ht="13.5" hidden="false" customHeight="false" outlineLevel="0" collapsed="false">
      <c r="A5" s="0" t="s">
        <v>60</v>
      </c>
      <c r="B5" s="0" t="s">
        <v>61</v>
      </c>
      <c r="C5" s="0" t="s">
        <v>62</v>
      </c>
      <c r="D5" s="0" t="s">
        <v>63</v>
      </c>
    </row>
    <row r="6" customFormat="false" ht="13.5" hidden="false" customHeight="false" outlineLevel="0" collapsed="false">
      <c r="A6" s="0" t="s">
        <v>64</v>
      </c>
      <c r="B6" s="0" t="s">
        <v>65</v>
      </c>
      <c r="C6" s="0" t="s">
        <v>66</v>
      </c>
      <c r="D6" s="0" t="s">
        <v>67</v>
      </c>
    </row>
    <row r="7" customFormat="false" ht="13.5" hidden="false" customHeight="false" outlineLevel="0" collapsed="false">
      <c r="A7" s="0" t="s">
        <v>68</v>
      </c>
      <c r="B7" s="0" t="s">
        <v>69</v>
      </c>
      <c r="C7" s="0" t="s">
        <v>70</v>
      </c>
      <c r="D7" s="0" t="s">
        <v>71</v>
      </c>
    </row>
    <row r="8" customFormat="false" ht="13.5" hidden="false" customHeight="false" outlineLevel="0" collapsed="false">
      <c r="A8" s="0" t="s">
        <v>72</v>
      </c>
      <c r="B8" s="0" t="s">
        <v>73</v>
      </c>
      <c r="C8" s="0" t="s">
        <v>74</v>
      </c>
      <c r="D8" s="0" t="s">
        <v>75</v>
      </c>
    </row>
    <row r="9" customFormat="false" ht="13.5" hidden="false" customHeight="false" outlineLevel="0" collapsed="false">
      <c r="A9" s="0" t="s">
        <v>76</v>
      </c>
      <c r="B9" s="0" t="s">
        <v>77</v>
      </c>
      <c r="C9" s="0" t="s">
        <v>78</v>
      </c>
      <c r="D9" s="0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40"/>
  </cols>
  <sheetData>
    <row r="1" customFormat="false" ht="13.5" hidden="false" customHeight="false" outlineLevel="0" collapsed="false">
      <c r="A1" s="0" t="s">
        <v>7</v>
      </c>
    </row>
    <row r="3" customFormat="false" ht="13.5" hidden="false" customHeight="false" outlineLevel="0" collapsed="false">
      <c r="A3" s="6" t="s">
        <v>54</v>
      </c>
      <c r="B3" s="6" t="s">
        <v>34</v>
      </c>
      <c r="C3" s="6" t="s">
        <v>35</v>
      </c>
      <c r="D3" s="2" t="s">
        <v>80</v>
      </c>
      <c r="E3" s="2" t="s">
        <v>81</v>
      </c>
    </row>
    <row r="4" customFormat="false" ht="13.5" hidden="false" customHeight="false" outlineLevel="0" collapsed="false">
      <c r="A4" s="0" t="s">
        <v>56</v>
      </c>
      <c r="B4" s="0" t="s">
        <v>82</v>
      </c>
      <c r="C4" s="0" t="s">
        <v>83</v>
      </c>
      <c r="D4" s="7"/>
      <c r="E4" s="7"/>
    </row>
    <row r="5" customFormat="false" ht="13.5" hidden="false" customHeight="false" outlineLevel="0" collapsed="false">
      <c r="A5" s="0" t="s">
        <v>84</v>
      </c>
      <c r="B5" s="0" t="s">
        <v>85</v>
      </c>
      <c r="C5" s="0" t="s">
        <v>86</v>
      </c>
      <c r="D5" s="7"/>
      <c r="E5" s="7"/>
    </row>
    <row r="6" customFormat="false" ht="13.5" hidden="false" customHeight="false" outlineLevel="0" collapsed="false">
      <c r="A6" s="0" t="s">
        <v>87</v>
      </c>
      <c r="B6" s="0" t="s">
        <v>88</v>
      </c>
      <c r="C6" s="0" t="s">
        <v>89</v>
      </c>
      <c r="D6" s="7"/>
      <c r="E6" s="7"/>
    </row>
    <row r="7" customFormat="false" ht="13.5" hidden="false" customHeight="false" outlineLevel="0" collapsed="false">
      <c r="A7" s="0" t="s">
        <v>90</v>
      </c>
      <c r="B7" s="0" t="s">
        <v>91</v>
      </c>
      <c r="C7" s="0" t="s">
        <v>92</v>
      </c>
      <c r="D7" s="7"/>
      <c r="E7" s="7"/>
    </row>
    <row r="8" customFormat="false" ht="13.5" hidden="false" customHeight="false" outlineLevel="0" collapsed="false">
      <c r="A8" s="0" t="s">
        <v>93</v>
      </c>
      <c r="B8" s="0" t="s">
        <v>94</v>
      </c>
      <c r="C8" s="0" t="s">
        <v>95</v>
      </c>
      <c r="D8" s="7"/>
      <c r="E8" s="7"/>
    </row>
    <row r="9" customFormat="false" ht="13.5" hidden="false" customHeight="false" outlineLevel="0" collapsed="false">
      <c r="A9" s="0" t="s">
        <v>96</v>
      </c>
      <c r="B9" s="0" t="s">
        <v>97</v>
      </c>
      <c r="C9" s="0" t="s">
        <v>98</v>
      </c>
      <c r="D9" s="7"/>
      <c r="E9" s="7"/>
    </row>
    <row r="10" customFormat="false" ht="13.5" hidden="false" customHeight="false" outlineLevel="0" collapsed="false">
      <c r="A10" s="0" t="s">
        <v>99</v>
      </c>
      <c r="B10" s="0" t="s">
        <v>100</v>
      </c>
      <c r="C10" s="0" t="s">
        <v>101</v>
      </c>
      <c r="D10" s="7"/>
      <c r="E10" s="7"/>
    </row>
    <row r="11" customFormat="false" ht="13.5" hidden="false" customHeight="false" outlineLevel="0" collapsed="false">
      <c r="A11" s="0" t="s">
        <v>102</v>
      </c>
      <c r="B11" s="0" t="s">
        <v>103</v>
      </c>
      <c r="C11" s="0" t="s">
        <v>104</v>
      </c>
      <c r="D11" s="7"/>
      <c r="E1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8" min="7" style="0" width="15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7" t="s">
        <v>9</v>
      </c>
    </row>
    <row r="3" customFormat="false" ht="15" hidden="false" customHeight="false" outlineLevel="0" collapsed="false">
      <c r="A3" s="2" t="s">
        <v>54</v>
      </c>
      <c r="B3" s="2" t="s">
        <v>105</v>
      </c>
      <c r="C3" s="2" t="s">
        <v>34</v>
      </c>
      <c r="D3" s="2" t="s">
        <v>35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</row>
    <row r="4" customFormat="false" ht="15" hidden="false" customHeight="false" outlineLevel="0" collapsed="false">
      <c r="A4" s="7" t="s">
        <v>111</v>
      </c>
      <c r="B4" s="7" t="s">
        <v>60</v>
      </c>
      <c r="C4" s="7" t="s">
        <v>112</v>
      </c>
      <c r="D4" s="7" t="s">
        <v>113</v>
      </c>
      <c r="E4" s="7" t="s">
        <v>114</v>
      </c>
      <c r="F4" s="7" t="s">
        <v>115</v>
      </c>
      <c r="G4" s="8" t="n">
        <f aca="false">SUMIFS(Indicator_Data!$C$4:$C$500,Indicator_Data!$B$4:$B$500,$A4)</f>
        <v>3900</v>
      </c>
      <c r="H4" s="8" t="n">
        <f aca="false">SUMIFS(Indicator_Data!$D$4:$D$500,Indicator_Data!$B$4:$B$500,$A4)</f>
        <v>3000</v>
      </c>
      <c r="I4" s="9" t="n">
        <f aca="false">IF(G4&gt;0,H4/G4,0)</f>
        <v>0.769230769230769</v>
      </c>
    </row>
    <row r="5" customFormat="false" ht="15" hidden="false" customHeight="false" outlineLevel="0" collapsed="false">
      <c r="A5" s="7" t="s">
        <v>116</v>
      </c>
      <c r="B5" s="7" t="s">
        <v>60</v>
      </c>
      <c r="C5" s="7" t="s">
        <v>117</v>
      </c>
      <c r="D5" s="7" t="s">
        <v>118</v>
      </c>
      <c r="E5" s="7" t="s">
        <v>119</v>
      </c>
      <c r="F5" s="7" t="s">
        <v>120</v>
      </c>
      <c r="G5" s="8" t="n">
        <f aca="false">SUMIFS(Indicator_Data!$C$4:$C$500,Indicator_Data!$B$4:$B$500,$A5)</f>
        <v>132</v>
      </c>
      <c r="H5" s="8" t="n">
        <f aca="false">SUMIFS(Indicator_Data!$D$4:$D$500,Indicator_Data!$B$4:$B$500,$A5)</f>
        <v>100</v>
      </c>
      <c r="I5" s="9" t="n">
        <f aca="false">IF(G5&gt;0,H5/G5,0)</f>
        <v>0.757575757575758</v>
      </c>
    </row>
    <row r="6" customFormat="false" ht="15" hidden="false" customHeight="false" outlineLevel="0" collapsed="false">
      <c r="A6" s="7" t="s">
        <v>121</v>
      </c>
      <c r="B6" s="7" t="s">
        <v>64</v>
      </c>
      <c r="C6" s="7" t="s">
        <v>122</v>
      </c>
      <c r="D6" s="7" t="s">
        <v>123</v>
      </c>
      <c r="E6" s="7" t="s">
        <v>114</v>
      </c>
      <c r="F6" s="7" t="s">
        <v>115</v>
      </c>
      <c r="G6" s="8" t="n">
        <f aca="false">SUMIFS(Indicator_Data!$C$4:$C$500,Indicator_Data!$B$4:$B$500,$A6)</f>
        <v>300</v>
      </c>
      <c r="H6" s="8" t="n">
        <f aca="false">SUMIFS(Indicator_Data!$D$4:$D$500,Indicator_Data!$B$4:$B$500,$A6)</f>
        <v>150</v>
      </c>
      <c r="I6" s="9" t="n">
        <f aca="false">IF(G6&gt;0,H6/G6,0)</f>
        <v>0.5</v>
      </c>
    </row>
    <row r="7" customFormat="false" ht="15" hidden="false" customHeight="false" outlineLevel="0" collapsed="false">
      <c r="A7" s="7" t="s">
        <v>124</v>
      </c>
      <c r="B7" s="7" t="s">
        <v>64</v>
      </c>
      <c r="C7" s="7" t="s">
        <v>125</v>
      </c>
      <c r="D7" s="7" t="s">
        <v>126</v>
      </c>
      <c r="E7" s="7" t="s">
        <v>127</v>
      </c>
      <c r="F7" s="7" t="s">
        <v>128</v>
      </c>
      <c r="G7" s="8" t="n">
        <f aca="false">SUMIFS(Indicator_Data!$C$4:$C$500,Indicator_Data!$B$4:$B$500,$A7)</f>
        <v>6000</v>
      </c>
      <c r="H7" s="8" t="n">
        <f aca="false">SUMIFS(Indicator_Data!$D$4:$D$500,Indicator_Data!$B$4:$B$500,$A7)</f>
        <v>2000</v>
      </c>
      <c r="I7" s="9" t="n">
        <f aca="false">IF(G7&gt;0,H7/G7,0)</f>
        <v>0.333333333333333</v>
      </c>
    </row>
    <row r="8" customFormat="false" ht="15" hidden="false" customHeight="false" outlineLevel="0" collapsed="false">
      <c r="A8" s="7" t="s">
        <v>129</v>
      </c>
      <c r="B8" s="7" t="s">
        <v>68</v>
      </c>
      <c r="C8" s="7" t="s">
        <v>130</v>
      </c>
      <c r="D8" s="7" t="s">
        <v>131</v>
      </c>
      <c r="E8" s="7" t="s">
        <v>127</v>
      </c>
      <c r="F8" s="7" t="s">
        <v>128</v>
      </c>
      <c r="G8" s="8" t="n">
        <f aca="false">SUMIFS(Indicator_Data!$C$4:$C$500,Indicator_Data!$B$4:$B$500,$A8)</f>
        <v>3900</v>
      </c>
      <c r="H8" s="8" t="n">
        <f aca="false">SUMIFS(Indicator_Data!$D$4:$D$500,Indicator_Data!$B$4:$B$500,$A8)</f>
        <v>1500</v>
      </c>
      <c r="I8" s="9" t="n">
        <f aca="false">IF(G8&gt;0,H8/G8,0)</f>
        <v>0.384615384615385</v>
      </c>
    </row>
    <row r="9" customFormat="false" ht="15" hidden="false" customHeight="false" outlineLevel="0" collapsed="false">
      <c r="A9" s="7" t="s">
        <v>132</v>
      </c>
      <c r="B9" s="7" t="s">
        <v>76</v>
      </c>
      <c r="C9" s="7" t="s">
        <v>133</v>
      </c>
      <c r="D9" s="7" t="s">
        <v>134</v>
      </c>
      <c r="E9" s="7" t="s">
        <v>135</v>
      </c>
      <c r="F9" s="7" t="s">
        <v>136</v>
      </c>
      <c r="G9" s="8" t="n">
        <f aca="false">SUMIFS(Indicator_Data!$C$4:$C$500,Indicator_Data!$B$4:$B$500,$A9)</f>
        <v>12</v>
      </c>
      <c r="H9" s="8" t="n">
        <f aca="false">SUMIFS(Indicator_Data!$D$4:$D$500,Indicator_Data!$B$4:$B$500,$A9)</f>
        <v>6</v>
      </c>
      <c r="I9" s="9" t="n">
        <f aca="false">IF(G9&gt;0,H9/G9,0)</f>
        <v>0.5</v>
      </c>
    </row>
    <row r="10" customFormat="false" ht="15" hidden="false" customHeight="false" outlineLevel="0" collapsed="false">
      <c r="A10" s="7" t="s">
        <v>137</v>
      </c>
      <c r="B10" s="7" t="s">
        <v>72</v>
      </c>
      <c r="C10" s="7" t="s">
        <v>138</v>
      </c>
      <c r="D10" s="7" t="s">
        <v>139</v>
      </c>
      <c r="E10" s="7" t="s">
        <v>127</v>
      </c>
      <c r="F10" s="7" t="s">
        <v>128</v>
      </c>
      <c r="G10" s="8" t="n">
        <f aca="false">SUMIFS(Indicator_Data!$C$4:$C$500,Indicator_Data!$B$4:$B$500,$A10)</f>
        <v>3900</v>
      </c>
      <c r="H10" s="8" t="n">
        <f aca="false">SUMIFS(Indicator_Data!$D$4:$D$500,Indicator_Data!$B$4:$B$500,$A10)</f>
        <v>1000</v>
      </c>
      <c r="I10" s="9" t="n">
        <f aca="false">IF(G10&gt;0,H10/G10,0)</f>
        <v>0.256410256410256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46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7" t="s">
        <v>11</v>
      </c>
    </row>
    <row r="3" customFormat="false" ht="15" hidden="false" customHeight="false" outlineLevel="0" collapsed="false">
      <c r="A3" s="2" t="s">
        <v>140</v>
      </c>
      <c r="B3" s="2" t="s">
        <v>141</v>
      </c>
      <c r="C3" s="2" t="s">
        <v>142</v>
      </c>
      <c r="D3" s="2" t="s">
        <v>143</v>
      </c>
      <c r="E3" s="2" t="s">
        <v>144</v>
      </c>
      <c r="F3" s="2" t="s">
        <v>145</v>
      </c>
      <c r="G3" s="2" t="s">
        <v>110</v>
      </c>
    </row>
    <row r="4" customFormat="false" ht="15" hidden="false" customHeight="false" outlineLevel="0" collapsed="false">
      <c r="A4" s="7" t="s">
        <v>84</v>
      </c>
      <c r="B4" s="7" t="s">
        <v>111</v>
      </c>
      <c r="C4" s="10" t="n">
        <v>560</v>
      </c>
      <c r="D4" s="10" t="n">
        <v>734</v>
      </c>
      <c r="E4" s="11" t="str">
        <f aca="false">IFERROR(INDEX(Governorates!$B$4:$B$60,MATCH($A4,Governorates!$A$4:$A$60,0)),"")</f>
        <v>أبين</v>
      </c>
      <c r="F4" s="11" t="str">
        <f aca="false">IFERROR(INDEX(Indicators!$C$4:$C$60,MATCH($B4,Indicators!$A$4:$A$60,0)),"")</f>
        <v>الأطفال الذين حصلوا على فرص تعليم آمنة</v>
      </c>
      <c r="G4" s="9" t="n">
        <f aca="false">IF(C4&gt;0,D4/C4,0)</f>
        <v>1.31071428571429</v>
      </c>
    </row>
    <row r="5" customFormat="false" ht="15" hidden="false" customHeight="false" outlineLevel="0" collapsed="false">
      <c r="A5" s="7" t="s">
        <v>84</v>
      </c>
      <c r="B5" s="7" t="s">
        <v>116</v>
      </c>
      <c r="C5" s="10" t="n">
        <v>19</v>
      </c>
      <c r="D5" s="10" t="n">
        <v>25</v>
      </c>
      <c r="E5" s="11" t="str">
        <f aca="false">IFERROR(INDEX(Governorates!$B$4:$B$60,MATCH($A5,Governorates!$A$4:$A$60,0)),"")</f>
        <v>أبين</v>
      </c>
      <c r="F5" s="11" t="str">
        <f aca="false">IFERROR(INDEX(Indicators!$C$4:$C$60,MATCH($B5,Indicators!$A$4:$A$60,0)),"")</f>
        <v>المعلمون المدرّبون والمتلقون للحوافز</v>
      </c>
      <c r="G5" s="9" t="n">
        <f aca="false">IF(C5&gt;0,D5/C5,0)</f>
        <v>1.31578947368421</v>
      </c>
    </row>
    <row r="6" customFormat="false" ht="15" hidden="false" customHeight="false" outlineLevel="0" collapsed="false">
      <c r="A6" s="7" t="s">
        <v>84</v>
      </c>
      <c r="B6" s="7" t="s">
        <v>121</v>
      </c>
      <c r="C6" s="10" t="n">
        <v>43</v>
      </c>
      <c r="D6" s="10" t="n">
        <v>37</v>
      </c>
      <c r="E6" s="11" t="str">
        <f aca="false">IFERROR(INDEX(Governorates!$B$4:$B$60,MATCH($A6,Governorates!$A$4:$A$60,0)),"")</f>
        <v>أبين</v>
      </c>
      <c r="F6" s="11" t="str">
        <f aca="false">IFERROR(INDEX(Indicators!$C$4:$C$60,MATCH($B6,Indicators!$A$4:$A$60,0)),"")</f>
        <v>الأطفال المستفيدون من إدارة الحالة</v>
      </c>
      <c r="G6" s="9" t="n">
        <f aca="false">IF(C6&gt;0,D6/C6,0)</f>
        <v>0.86046511627907</v>
      </c>
    </row>
    <row r="7" customFormat="false" ht="15" hidden="false" customHeight="false" outlineLevel="0" collapsed="false">
      <c r="A7" s="7" t="s">
        <v>84</v>
      </c>
      <c r="B7" s="7" t="s">
        <v>124</v>
      </c>
      <c r="C7" s="10" t="n">
        <v>862</v>
      </c>
      <c r="D7" s="10" t="n">
        <v>489</v>
      </c>
      <c r="E7" s="11" t="str">
        <f aca="false">IFERROR(INDEX(Governorates!$B$4:$B$60,MATCH($A7,Governorates!$A$4:$A$60,0)),"")</f>
        <v>أبين</v>
      </c>
      <c r="F7" s="11" t="str">
        <f aca="false">IFERROR(INDEX(Indicators!$C$4:$C$60,MATCH($B7,Indicators!$A$4:$A$60,0)),"")</f>
        <v>الأشخاص المشاركون في التوعية بالحماية</v>
      </c>
      <c r="G7" s="9" t="n">
        <f aca="false">IF(C7&gt;0,D7/C7,0)</f>
        <v>0.567285382830627</v>
      </c>
    </row>
    <row r="8" customFormat="false" ht="15" hidden="false" customHeight="false" outlineLevel="0" collapsed="false">
      <c r="A8" s="7" t="s">
        <v>84</v>
      </c>
      <c r="B8" s="7" t="s">
        <v>129</v>
      </c>
      <c r="C8" s="10" t="n">
        <v>560</v>
      </c>
      <c r="D8" s="10" t="n">
        <v>367</v>
      </c>
      <c r="E8" s="11" t="str">
        <f aca="false">IFERROR(INDEX(Governorates!$B$4:$B$60,MATCH($A8,Governorates!$A$4:$A$60,0)),"")</f>
        <v>أبين</v>
      </c>
      <c r="F8" s="11" t="str">
        <f aca="false">IFERROR(INDEX(Indicators!$C$4:$C$60,MATCH($B8,Indicators!$A$4:$A$60,0)),"")</f>
        <v>الأشخاص المستفيدون من خدمات المياه</v>
      </c>
      <c r="G8" s="9" t="n">
        <f aca="false">IF(C8&gt;0,D8/C8,0)</f>
        <v>0.655357142857143</v>
      </c>
    </row>
    <row r="9" customFormat="false" ht="15" hidden="false" customHeight="false" outlineLevel="0" collapsed="false">
      <c r="A9" s="7" t="s">
        <v>84</v>
      </c>
      <c r="B9" s="7" t="s">
        <v>132</v>
      </c>
      <c r="C9" s="10" t="n">
        <v>2</v>
      </c>
      <c r="D9" s="10" t="n">
        <v>2</v>
      </c>
      <c r="E9" s="11" t="str">
        <f aca="false">IFERROR(INDEX(Governorates!$B$4:$B$60,MATCH($A9,Governorates!$A$4:$A$60,0)),"")</f>
        <v>أبين</v>
      </c>
      <c r="F9" s="11" t="str">
        <f aca="false">IFERROR(INDEX(Indicators!$C$4:$C$60,MATCH($B9,Indicators!$A$4:$A$60,0)),"")</f>
        <v>المتطوعون المجتمعيون المدرّبون</v>
      </c>
      <c r="G9" s="9" t="n">
        <f aca="false">IF(C9&gt;0,D9/C9,0)</f>
        <v>1</v>
      </c>
    </row>
    <row r="10" customFormat="false" ht="15" hidden="false" customHeight="false" outlineLevel="0" collapsed="false">
      <c r="A10" s="7" t="s">
        <v>84</v>
      </c>
      <c r="B10" s="7" t="s">
        <v>137</v>
      </c>
      <c r="C10" s="10" t="n">
        <v>560</v>
      </c>
      <c r="D10" s="10" t="n">
        <v>245</v>
      </c>
      <c r="E10" s="11" t="str">
        <f aca="false">IFERROR(INDEX(Governorates!$B$4:$B$60,MATCH($A10,Governorates!$A$4:$A$60,0)),"")</f>
        <v>أبين</v>
      </c>
      <c r="F10" s="11" t="str">
        <f aca="false">IFERROR(INDEX(Indicators!$C$4:$C$60,MATCH($B10,Indicators!$A$4:$A$60,0)),"")</f>
        <v>المستفيدون من خدمات الإصحاح والنظافة</v>
      </c>
      <c r="G10" s="9" t="n">
        <f aca="false">IF(C10&gt;0,D10/C10,0)</f>
        <v>0.4375</v>
      </c>
    </row>
    <row r="11" customFormat="false" ht="15" hidden="false" customHeight="false" outlineLevel="0" collapsed="false">
      <c r="A11" s="7" t="s">
        <v>87</v>
      </c>
      <c r="B11" s="7" t="s">
        <v>111</v>
      </c>
      <c r="C11" s="10" t="n">
        <v>560</v>
      </c>
      <c r="D11" s="10" t="n">
        <v>734</v>
      </c>
      <c r="E11" s="11" t="str">
        <f aca="false">IFERROR(INDEX(Governorates!$B$4:$B$60,MATCH($A11,Governorates!$A$4:$A$60,0)),"")</f>
        <v>تعز</v>
      </c>
      <c r="F11" s="11" t="str">
        <f aca="false">IFERROR(INDEX(Indicators!$C$4:$C$60,MATCH($B11,Indicators!$A$4:$A$60,0)),"")</f>
        <v>الأطفال الذين حصلوا على فرص تعليم آمنة</v>
      </c>
      <c r="G11" s="9" t="n">
        <f aca="false">IF(C11&gt;0,D11/C11,0)</f>
        <v>1.31071428571429</v>
      </c>
    </row>
    <row r="12" customFormat="false" ht="15" hidden="false" customHeight="false" outlineLevel="0" collapsed="false">
      <c r="A12" s="7" t="s">
        <v>87</v>
      </c>
      <c r="B12" s="7" t="s">
        <v>116</v>
      </c>
      <c r="C12" s="10" t="n">
        <v>19</v>
      </c>
      <c r="D12" s="10" t="n">
        <v>24</v>
      </c>
      <c r="E12" s="11" t="str">
        <f aca="false">IFERROR(INDEX(Governorates!$B$4:$B$60,MATCH($A12,Governorates!$A$4:$A$60,0)),"")</f>
        <v>تعز</v>
      </c>
      <c r="F12" s="11" t="str">
        <f aca="false">IFERROR(INDEX(Indicators!$C$4:$C$60,MATCH($B12,Indicators!$A$4:$A$60,0)),"")</f>
        <v>المعلمون المدرّبون والمتلقون للحوافز</v>
      </c>
      <c r="G12" s="9" t="n">
        <f aca="false">IF(C12&gt;0,D12/C12,0)</f>
        <v>1.26315789473684</v>
      </c>
    </row>
    <row r="13" customFormat="false" ht="15" hidden="false" customHeight="false" outlineLevel="0" collapsed="false">
      <c r="A13" s="7" t="s">
        <v>87</v>
      </c>
      <c r="B13" s="7" t="s">
        <v>121</v>
      </c>
      <c r="C13" s="10" t="n">
        <v>43</v>
      </c>
      <c r="D13" s="10" t="n">
        <v>37</v>
      </c>
      <c r="E13" s="11" t="str">
        <f aca="false">IFERROR(INDEX(Governorates!$B$4:$B$60,MATCH($A13,Governorates!$A$4:$A$60,0)),"")</f>
        <v>تعز</v>
      </c>
      <c r="F13" s="11" t="str">
        <f aca="false">IFERROR(INDEX(Indicators!$C$4:$C$60,MATCH($B13,Indicators!$A$4:$A$60,0)),"")</f>
        <v>الأطفال المستفيدون من إدارة الحالة</v>
      </c>
      <c r="G13" s="9" t="n">
        <f aca="false">IF(C13&gt;0,D13/C13,0)</f>
        <v>0.86046511627907</v>
      </c>
    </row>
    <row r="14" customFormat="false" ht="15" hidden="false" customHeight="false" outlineLevel="0" collapsed="false">
      <c r="A14" s="7" t="s">
        <v>87</v>
      </c>
      <c r="B14" s="7" t="s">
        <v>124</v>
      </c>
      <c r="C14" s="10" t="n">
        <v>862</v>
      </c>
      <c r="D14" s="10" t="n">
        <v>489</v>
      </c>
      <c r="E14" s="11" t="str">
        <f aca="false">IFERROR(INDEX(Governorates!$B$4:$B$60,MATCH($A14,Governorates!$A$4:$A$60,0)),"")</f>
        <v>تعز</v>
      </c>
      <c r="F14" s="11" t="str">
        <f aca="false">IFERROR(INDEX(Indicators!$C$4:$C$60,MATCH($B14,Indicators!$A$4:$A$60,0)),"")</f>
        <v>الأشخاص المشاركون في التوعية بالحماية</v>
      </c>
      <c r="G14" s="9" t="n">
        <f aca="false">IF(C14&gt;0,D14/C14,0)</f>
        <v>0.567285382830627</v>
      </c>
    </row>
    <row r="15" customFormat="false" ht="15" hidden="false" customHeight="false" outlineLevel="0" collapsed="false">
      <c r="A15" s="7" t="s">
        <v>87</v>
      </c>
      <c r="B15" s="7" t="s">
        <v>129</v>
      </c>
      <c r="C15" s="10" t="n">
        <v>560</v>
      </c>
      <c r="D15" s="10" t="n">
        <v>367</v>
      </c>
      <c r="E15" s="11" t="str">
        <f aca="false">IFERROR(INDEX(Governorates!$B$4:$B$60,MATCH($A15,Governorates!$A$4:$A$60,0)),"")</f>
        <v>تعز</v>
      </c>
      <c r="F15" s="11" t="str">
        <f aca="false">IFERROR(INDEX(Indicators!$C$4:$C$60,MATCH($B15,Indicators!$A$4:$A$60,0)),"")</f>
        <v>الأشخاص المستفيدون من خدمات المياه</v>
      </c>
      <c r="G15" s="9" t="n">
        <f aca="false">IF(C15&gt;0,D15/C15,0)</f>
        <v>0.655357142857143</v>
      </c>
    </row>
    <row r="16" customFormat="false" ht="15" hidden="false" customHeight="false" outlineLevel="0" collapsed="false">
      <c r="A16" s="7" t="s">
        <v>87</v>
      </c>
      <c r="B16" s="7" t="s">
        <v>132</v>
      </c>
      <c r="C16" s="10" t="n">
        <v>2</v>
      </c>
      <c r="D16" s="10" t="n">
        <v>1</v>
      </c>
      <c r="E16" s="11" t="str">
        <f aca="false">IFERROR(INDEX(Governorates!$B$4:$B$60,MATCH($A16,Governorates!$A$4:$A$60,0)),"")</f>
        <v>تعز</v>
      </c>
      <c r="F16" s="11" t="str">
        <f aca="false">IFERROR(INDEX(Indicators!$C$4:$C$60,MATCH($B16,Indicators!$A$4:$A$60,0)),"")</f>
        <v>المتطوعون المجتمعيون المدرّبون</v>
      </c>
      <c r="G16" s="9" t="n">
        <f aca="false">IF(C16&gt;0,D16/C16,0)</f>
        <v>0.5</v>
      </c>
    </row>
    <row r="17" customFormat="false" ht="15" hidden="false" customHeight="false" outlineLevel="0" collapsed="false">
      <c r="A17" s="7" t="s">
        <v>87</v>
      </c>
      <c r="B17" s="7" t="s">
        <v>137</v>
      </c>
      <c r="C17" s="10" t="n">
        <v>560</v>
      </c>
      <c r="D17" s="10" t="n">
        <v>244</v>
      </c>
      <c r="E17" s="11" t="str">
        <f aca="false">IFERROR(INDEX(Governorates!$B$4:$B$60,MATCH($A17,Governorates!$A$4:$A$60,0)),"")</f>
        <v>تعز</v>
      </c>
      <c r="F17" s="11" t="str">
        <f aca="false">IFERROR(INDEX(Indicators!$C$4:$C$60,MATCH($B17,Indicators!$A$4:$A$60,0)),"")</f>
        <v>المستفيدون من خدمات الإصحاح والنظافة</v>
      </c>
      <c r="G17" s="9" t="n">
        <f aca="false">IF(C17&gt;0,D17/C17,0)</f>
        <v>0.435714285714286</v>
      </c>
    </row>
    <row r="18" customFormat="false" ht="15" hidden="false" customHeight="false" outlineLevel="0" collapsed="false">
      <c r="A18" s="7" t="s">
        <v>90</v>
      </c>
      <c r="B18" s="7" t="s">
        <v>111</v>
      </c>
      <c r="C18" s="10" t="n">
        <v>550</v>
      </c>
      <c r="D18" s="10" t="n">
        <v>720</v>
      </c>
      <c r="E18" s="11" t="str">
        <f aca="false">IFERROR(INDEX(Governorates!$B$4:$B$60,MATCH($A18,Governorates!$A$4:$A$60,0)),"")</f>
        <v>الضالع</v>
      </c>
      <c r="F18" s="11" t="str">
        <f aca="false">IFERROR(INDEX(Indicators!$C$4:$C$60,MATCH($B18,Indicators!$A$4:$A$60,0)),"")</f>
        <v>الأطفال الذين حصلوا على فرص تعليم آمنة</v>
      </c>
      <c r="G18" s="9" t="n">
        <f aca="false">IF(C18&gt;0,D18/C18,0)</f>
        <v>1.30909090909091</v>
      </c>
    </row>
    <row r="19" customFormat="false" ht="15" hidden="false" customHeight="false" outlineLevel="0" collapsed="false">
      <c r="A19" s="7" t="s">
        <v>90</v>
      </c>
      <c r="B19" s="7" t="s">
        <v>116</v>
      </c>
      <c r="C19" s="10" t="n">
        <v>19</v>
      </c>
      <c r="D19" s="10" t="n">
        <v>24</v>
      </c>
      <c r="E19" s="11" t="str">
        <f aca="false">IFERROR(INDEX(Governorates!$B$4:$B$60,MATCH($A19,Governorates!$A$4:$A$60,0)),"")</f>
        <v>الضالع</v>
      </c>
      <c r="F19" s="11" t="str">
        <f aca="false">IFERROR(INDEX(Indicators!$C$4:$C$60,MATCH($B19,Indicators!$A$4:$A$60,0)),"")</f>
        <v>المعلمون المدرّبون والمتلقون للحوافز</v>
      </c>
      <c r="G19" s="9" t="n">
        <f aca="false">IF(C19&gt;0,D19/C19,0)</f>
        <v>1.26315789473684</v>
      </c>
    </row>
    <row r="20" customFormat="false" ht="15" hidden="false" customHeight="false" outlineLevel="0" collapsed="false">
      <c r="A20" s="7" t="s">
        <v>90</v>
      </c>
      <c r="B20" s="7" t="s">
        <v>121</v>
      </c>
      <c r="C20" s="10" t="n">
        <v>42</v>
      </c>
      <c r="D20" s="10" t="n">
        <v>36</v>
      </c>
      <c r="E20" s="11" t="str">
        <f aca="false">IFERROR(INDEX(Governorates!$B$4:$B$60,MATCH($A20,Governorates!$A$4:$A$60,0)),"")</f>
        <v>الضالع</v>
      </c>
      <c r="F20" s="11" t="str">
        <f aca="false">IFERROR(INDEX(Indicators!$C$4:$C$60,MATCH($B20,Indicators!$A$4:$A$60,0)),"")</f>
        <v>الأطفال المستفيدون من إدارة الحالة</v>
      </c>
      <c r="G20" s="9" t="n">
        <f aca="false">IF(C20&gt;0,D20/C20,0)</f>
        <v>0.857142857142857</v>
      </c>
    </row>
    <row r="21" customFormat="false" ht="15" hidden="false" customHeight="false" outlineLevel="0" collapsed="false">
      <c r="A21" s="7" t="s">
        <v>90</v>
      </c>
      <c r="B21" s="7" t="s">
        <v>124</v>
      </c>
      <c r="C21" s="10" t="n">
        <v>846</v>
      </c>
      <c r="D21" s="10" t="n">
        <v>480</v>
      </c>
      <c r="E21" s="11" t="str">
        <f aca="false">IFERROR(INDEX(Governorates!$B$4:$B$60,MATCH($A21,Governorates!$A$4:$A$60,0)),"")</f>
        <v>الضالع</v>
      </c>
      <c r="F21" s="11" t="str">
        <f aca="false">IFERROR(INDEX(Indicators!$C$4:$C$60,MATCH($B21,Indicators!$A$4:$A$60,0)),"")</f>
        <v>الأشخاص المشاركون في التوعية بالحماية</v>
      </c>
      <c r="G21" s="9" t="n">
        <f aca="false">IF(C21&gt;0,D21/C21,0)</f>
        <v>0.567375886524823</v>
      </c>
    </row>
    <row r="22" customFormat="false" ht="15" hidden="false" customHeight="false" outlineLevel="0" collapsed="false">
      <c r="A22" s="7" t="s">
        <v>90</v>
      </c>
      <c r="B22" s="7" t="s">
        <v>129</v>
      </c>
      <c r="C22" s="10" t="n">
        <v>550</v>
      </c>
      <c r="D22" s="10" t="n">
        <v>360</v>
      </c>
      <c r="E22" s="11" t="str">
        <f aca="false">IFERROR(INDEX(Governorates!$B$4:$B$60,MATCH($A22,Governorates!$A$4:$A$60,0)),"")</f>
        <v>الضالع</v>
      </c>
      <c r="F22" s="11" t="str">
        <f aca="false">IFERROR(INDEX(Indicators!$C$4:$C$60,MATCH($B22,Indicators!$A$4:$A$60,0)),"")</f>
        <v>الأشخاص المستفيدون من خدمات المياه</v>
      </c>
      <c r="G22" s="9" t="n">
        <f aca="false">IF(C22&gt;0,D22/C22,0)</f>
        <v>0.654545454545455</v>
      </c>
    </row>
    <row r="23" customFormat="false" ht="15" hidden="false" customHeight="false" outlineLevel="0" collapsed="false">
      <c r="A23" s="7" t="s">
        <v>90</v>
      </c>
      <c r="B23" s="7" t="s">
        <v>132</v>
      </c>
      <c r="C23" s="10" t="n">
        <v>2</v>
      </c>
      <c r="D23" s="10" t="n">
        <v>1</v>
      </c>
      <c r="E23" s="11" t="str">
        <f aca="false">IFERROR(INDEX(Governorates!$B$4:$B$60,MATCH($A23,Governorates!$A$4:$A$60,0)),"")</f>
        <v>الضالع</v>
      </c>
      <c r="F23" s="11" t="str">
        <f aca="false">IFERROR(INDEX(Indicators!$C$4:$C$60,MATCH($B23,Indicators!$A$4:$A$60,0)),"")</f>
        <v>المتطوعون المجتمعيون المدرّبون</v>
      </c>
      <c r="G23" s="9" t="n">
        <f aca="false">IF(C23&gt;0,D23/C23,0)</f>
        <v>0.5</v>
      </c>
    </row>
    <row r="24" customFormat="false" ht="15" hidden="false" customHeight="false" outlineLevel="0" collapsed="false">
      <c r="A24" s="7" t="s">
        <v>90</v>
      </c>
      <c r="B24" s="7" t="s">
        <v>137</v>
      </c>
      <c r="C24" s="10" t="n">
        <v>550</v>
      </c>
      <c r="D24" s="10" t="n">
        <v>240</v>
      </c>
      <c r="E24" s="11" t="str">
        <f aca="false">IFERROR(INDEX(Governorates!$B$4:$B$60,MATCH($A24,Governorates!$A$4:$A$60,0)),"")</f>
        <v>الضالع</v>
      </c>
      <c r="F24" s="11" t="str">
        <f aca="false">IFERROR(INDEX(Indicators!$C$4:$C$60,MATCH($B24,Indicators!$A$4:$A$60,0)),"")</f>
        <v>المستفيدون من خدمات الإصحاح والنظافة</v>
      </c>
      <c r="G24" s="9" t="n">
        <f aca="false">IF(C24&gt;0,D24/C24,0)</f>
        <v>0.436363636363636</v>
      </c>
    </row>
    <row r="25" customFormat="false" ht="15" hidden="false" customHeight="false" outlineLevel="0" collapsed="false">
      <c r="A25" s="7" t="s">
        <v>93</v>
      </c>
      <c r="B25" s="7" t="s">
        <v>111</v>
      </c>
      <c r="C25" s="10" t="n">
        <v>620</v>
      </c>
      <c r="D25" s="10" t="n">
        <v>812</v>
      </c>
      <c r="E25" s="11" t="str">
        <f aca="false">IFERROR(INDEX(Governorates!$B$4:$B$60,MATCH($A25,Governorates!$A$4:$A$60,0)),"")</f>
        <v>الحديدة</v>
      </c>
      <c r="F25" s="11" t="str">
        <f aca="false">IFERROR(INDEX(Indicators!$C$4:$C$60,MATCH($B25,Indicators!$A$4:$A$60,0)),"")</f>
        <v>الأطفال الذين حصلوا على فرص تعليم آمنة</v>
      </c>
      <c r="G25" s="9" t="n">
        <f aca="false">IF(C25&gt;0,D25/C25,0)</f>
        <v>1.30967741935484</v>
      </c>
    </row>
    <row r="26" customFormat="false" ht="15" hidden="false" customHeight="false" outlineLevel="0" collapsed="false">
      <c r="A26" s="7" t="s">
        <v>93</v>
      </c>
      <c r="B26" s="7" t="s">
        <v>116</v>
      </c>
      <c r="C26" s="10" t="n">
        <v>21</v>
      </c>
      <c r="D26" s="10" t="n">
        <v>27</v>
      </c>
      <c r="E26" s="11" t="str">
        <f aca="false">IFERROR(INDEX(Governorates!$B$4:$B$60,MATCH($A26,Governorates!$A$4:$A$60,0)),"")</f>
        <v>الحديدة</v>
      </c>
      <c r="F26" s="11" t="str">
        <f aca="false">IFERROR(INDEX(Indicators!$C$4:$C$60,MATCH($B26,Indicators!$A$4:$A$60,0)),"")</f>
        <v>المعلمون المدرّبون والمتلقون للحوافز</v>
      </c>
      <c r="G26" s="9" t="n">
        <f aca="false">IF(C26&gt;0,D26/C26,0)</f>
        <v>1.28571428571429</v>
      </c>
    </row>
    <row r="27" customFormat="false" ht="15" hidden="false" customHeight="false" outlineLevel="0" collapsed="false">
      <c r="A27" s="7" t="s">
        <v>93</v>
      </c>
      <c r="B27" s="7" t="s">
        <v>121</v>
      </c>
      <c r="C27" s="10" t="n">
        <v>48</v>
      </c>
      <c r="D27" s="10" t="n">
        <v>40</v>
      </c>
      <c r="E27" s="11" t="str">
        <f aca="false">IFERROR(INDEX(Governorates!$B$4:$B$60,MATCH($A27,Governorates!$A$4:$A$60,0)),"")</f>
        <v>الحديدة</v>
      </c>
      <c r="F27" s="11" t="str">
        <f aca="false">IFERROR(INDEX(Indicators!$C$4:$C$60,MATCH($B27,Indicators!$A$4:$A$60,0)),"")</f>
        <v>الأطفال المستفيدون من إدارة الحالة</v>
      </c>
      <c r="G27" s="9" t="n">
        <f aca="false">IF(C27&gt;0,D27/C27,0)</f>
        <v>0.833333333333333</v>
      </c>
    </row>
    <row r="28" customFormat="false" ht="15" hidden="false" customHeight="false" outlineLevel="0" collapsed="false">
      <c r="A28" s="7" t="s">
        <v>93</v>
      </c>
      <c r="B28" s="7" t="s">
        <v>124</v>
      </c>
      <c r="C28" s="10" t="n">
        <v>954</v>
      </c>
      <c r="D28" s="10" t="n">
        <v>542</v>
      </c>
      <c r="E28" s="11" t="str">
        <f aca="false">IFERROR(INDEX(Governorates!$B$4:$B$60,MATCH($A28,Governorates!$A$4:$A$60,0)),"")</f>
        <v>الحديدة</v>
      </c>
      <c r="F28" s="11" t="str">
        <f aca="false">IFERROR(INDEX(Indicators!$C$4:$C$60,MATCH($B28,Indicators!$A$4:$A$60,0)),"")</f>
        <v>الأشخاص المشاركون في التوعية بالحماية</v>
      </c>
      <c r="G28" s="9" t="n">
        <f aca="false">IF(C28&gt;0,D28/C28,0)</f>
        <v>0.568134171907757</v>
      </c>
    </row>
    <row r="29" customFormat="false" ht="15" hidden="false" customHeight="false" outlineLevel="0" collapsed="false">
      <c r="A29" s="7" t="s">
        <v>93</v>
      </c>
      <c r="B29" s="7" t="s">
        <v>129</v>
      </c>
      <c r="C29" s="10" t="n">
        <v>620</v>
      </c>
      <c r="D29" s="10" t="n">
        <v>406</v>
      </c>
      <c r="E29" s="11" t="str">
        <f aca="false">IFERROR(INDEX(Governorates!$B$4:$B$60,MATCH($A29,Governorates!$A$4:$A$60,0)),"")</f>
        <v>الحديدة</v>
      </c>
      <c r="F29" s="11" t="str">
        <f aca="false">IFERROR(INDEX(Indicators!$C$4:$C$60,MATCH($B29,Indicators!$A$4:$A$60,0)),"")</f>
        <v>الأشخاص المستفيدون من خدمات المياه</v>
      </c>
      <c r="G29" s="9" t="n">
        <f aca="false">IF(C29&gt;0,D29/C29,0)</f>
        <v>0.654838709677419</v>
      </c>
    </row>
    <row r="30" customFormat="false" ht="15" hidden="false" customHeight="false" outlineLevel="0" collapsed="false">
      <c r="A30" s="7" t="s">
        <v>93</v>
      </c>
      <c r="B30" s="7" t="s">
        <v>132</v>
      </c>
      <c r="C30" s="10" t="n">
        <v>2</v>
      </c>
      <c r="D30" s="10" t="n">
        <v>2</v>
      </c>
      <c r="E30" s="11" t="str">
        <f aca="false">IFERROR(INDEX(Governorates!$B$4:$B$60,MATCH($A30,Governorates!$A$4:$A$60,0)),"")</f>
        <v>الحديدة</v>
      </c>
      <c r="F30" s="11" t="str">
        <f aca="false">IFERROR(INDEX(Indicators!$C$4:$C$60,MATCH($B30,Indicators!$A$4:$A$60,0)),"")</f>
        <v>المتطوعون المجتمعيون المدرّبون</v>
      </c>
      <c r="G30" s="9" t="n">
        <f aca="false">IF(C30&gt;0,D30/C30,0)</f>
        <v>1</v>
      </c>
    </row>
    <row r="31" customFormat="false" ht="15" hidden="false" customHeight="false" outlineLevel="0" collapsed="false">
      <c r="A31" s="7" t="s">
        <v>93</v>
      </c>
      <c r="B31" s="7" t="s">
        <v>137</v>
      </c>
      <c r="C31" s="10" t="n">
        <v>620</v>
      </c>
      <c r="D31" s="10" t="n">
        <v>271</v>
      </c>
      <c r="E31" s="11" t="str">
        <f aca="false">IFERROR(INDEX(Governorates!$B$4:$B$60,MATCH($A31,Governorates!$A$4:$A$60,0)),"")</f>
        <v>الحديدة</v>
      </c>
      <c r="F31" s="11" t="str">
        <f aca="false">IFERROR(INDEX(Indicators!$C$4:$C$60,MATCH($B31,Indicators!$A$4:$A$60,0)),"")</f>
        <v>المستفيدون من خدمات الإصحاح والنظافة</v>
      </c>
      <c r="G31" s="9" t="n">
        <f aca="false">IF(C31&gt;0,D31/C31,0)</f>
        <v>0.437096774193548</v>
      </c>
    </row>
    <row r="32" customFormat="false" ht="15" hidden="false" customHeight="false" outlineLevel="0" collapsed="false">
      <c r="A32" s="7" t="s">
        <v>96</v>
      </c>
      <c r="B32" s="7" t="s">
        <v>111</v>
      </c>
      <c r="C32" s="10" t="n">
        <v>550</v>
      </c>
      <c r="D32" s="10" t="n">
        <v>0</v>
      </c>
      <c r="E32" s="11" t="str">
        <f aca="false">IFERROR(INDEX(Governorates!$B$4:$B$60,MATCH($A32,Governorates!$A$4:$A$60,0)),"")</f>
        <v>شبوة</v>
      </c>
      <c r="F32" s="11" t="str">
        <f aca="false">IFERROR(INDEX(Indicators!$C$4:$C$60,MATCH($B32,Indicators!$A$4:$A$60,0)),"")</f>
        <v>الأطفال الذين حصلوا على فرص تعليم آمنة</v>
      </c>
      <c r="G32" s="9" t="n">
        <f aca="false">IF(C32&gt;0,D32/C32,0)</f>
        <v>0</v>
      </c>
    </row>
    <row r="33" customFormat="false" ht="15" hidden="false" customHeight="false" outlineLevel="0" collapsed="false">
      <c r="A33" s="7" t="s">
        <v>96</v>
      </c>
      <c r="B33" s="7" t="s">
        <v>116</v>
      </c>
      <c r="C33" s="10" t="n">
        <v>18</v>
      </c>
      <c r="D33" s="10" t="n">
        <v>0</v>
      </c>
      <c r="E33" s="11" t="str">
        <f aca="false">IFERROR(INDEX(Governorates!$B$4:$B$60,MATCH($A33,Governorates!$A$4:$A$60,0)),"")</f>
        <v>شبوة</v>
      </c>
      <c r="F33" s="11" t="str">
        <f aca="false">IFERROR(INDEX(Indicators!$C$4:$C$60,MATCH($B33,Indicators!$A$4:$A$60,0)),"")</f>
        <v>المعلمون المدرّبون والمتلقون للحوافز</v>
      </c>
      <c r="G33" s="9" t="n">
        <f aca="false">IF(C33&gt;0,D33/C33,0)</f>
        <v>0</v>
      </c>
    </row>
    <row r="34" customFormat="false" ht="15" hidden="false" customHeight="false" outlineLevel="0" collapsed="false">
      <c r="A34" s="7" t="s">
        <v>96</v>
      </c>
      <c r="B34" s="7" t="s">
        <v>121</v>
      </c>
      <c r="C34" s="10" t="n">
        <v>42</v>
      </c>
      <c r="D34" s="10" t="n">
        <v>0</v>
      </c>
      <c r="E34" s="11" t="str">
        <f aca="false">IFERROR(INDEX(Governorates!$B$4:$B$60,MATCH($A34,Governorates!$A$4:$A$60,0)),"")</f>
        <v>شبوة</v>
      </c>
      <c r="F34" s="11" t="str">
        <f aca="false">IFERROR(INDEX(Indicators!$C$4:$C$60,MATCH($B34,Indicators!$A$4:$A$60,0)),"")</f>
        <v>الأطفال المستفيدون من إدارة الحالة</v>
      </c>
      <c r="G34" s="9" t="n">
        <f aca="false">IF(C34&gt;0,D34/C34,0)</f>
        <v>0</v>
      </c>
    </row>
    <row r="35" customFormat="false" ht="15" hidden="false" customHeight="false" outlineLevel="0" collapsed="false">
      <c r="A35" s="7" t="s">
        <v>96</v>
      </c>
      <c r="B35" s="7" t="s">
        <v>124</v>
      </c>
      <c r="C35" s="10" t="n">
        <v>846</v>
      </c>
      <c r="D35" s="10" t="n">
        <v>0</v>
      </c>
      <c r="E35" s="11" t="str">
        <f aca="false">IFERROR(INDEX(Governorates!$B$4:$B$60,MATCH($A35,Governorates!$A$4:$A$60,0)),"")</f>
        <v>شبوة</v>
      </c>
      <c r="F35" s="11" t="str">
        <f aca="false">IFERROR(INDEX(Indicators!$C$4:$C$60,MATCH($B35,Indicators!$A$4:$A$60,0)),"")</f>
        <v>الأشخاص المشاركون في التوعية بالحماية</v>
      </c>
      <c r="G35" s="9" t="n">
        <f aca="false">IF(C35&gt;0,D35/C35,0)</f>
        <v>0</v>
      </c>
    </row>
    <row r="36" customFormat="false" ht="15" hidden="false" customHeight="false" outlineLevel="0" collapsed="false">
      <c r="A36" s="7" t="s">
        <v>96</v>
      </c>
      <c r="B36" s="7" t="s">
        <v>129</v>
      </c>
      <c r="C36" s="10" t="n">
        <v>550</v>
      </c>
      <c r="D36" s="10" t="n">
        <v>0</v>
      </c>
      <c r="E36" s="11" t="str">
        <f aca="false">IFERROR(INDEX(Governorates!$B$4:$B$60,MATCH($A36,Governorates!$A$4:$A$60,0)),"")</f>
        <v>شبوة</v>
      </c>
      <c r="F36" s="11" t="str">
        <f aca="false">IFERROR(INDEX(Indicators!$C$4:$C$60,MATCH($B36,Indicators!$A$4:$A$60,0)),"")</f>
        <v>الأشخاص المستفيدون من خدمات المياه</v>
      </c>
      <c r="G36" s="9" t="n">
        <f aca="false">IF(C36&gt;0,D36/C36,0)</f>
        <v>0</v>
      </c>
    </row>
    <row r="37" customFormat="false" ht="15" hidden="false" customHeight="false" outlineLevel="0" collapsed="false">
      <c r="A37" s="7" t="s">
        <v>96</v>
      </c>
      <c r="B37" s="7" t="s">
        <v>132</v>
      </c>
      <c r="C37" s="10" t="n">
        <v>1</v>
      </c>
      <c r="D37" s="10" t="n">
        <v>0</v>
      </c>
      <c r="E37" s="11" t="str">
        <f aca="false">IFERROR(INDEX(Governorates!$B$4:$B$60,MATCH($A37,Governorates!$A$4:$A$60,0)),"")</f>
        <v>شبوة</v>
      </c>
      <c r="F37" s="11" t="str">
        <f aca="false">IFERROR(INDEX(Indicators!$C$4:$C$60,MATCH($B37,Indicators!$A$4:$A$60,0)),"")</f>
        <v>المتطوعون المجتمعيون المدرّبون</v>
      </c>
      <c r="G37" s="9" t="n">
        <f aca="false">IF(C37&gt;0,D37/C37,0)</f>
        <v>0</v>
      </c>
    </row>
    <row r="38" customFormat="false" ht="15" hidden="false" customHeight="false" outlineLevel="0" collapsed="false">
      <c r="A38" s="7" t="s">
        <v>96</v>
      </c>
      <c r="B38" s="7" t="s">
        <v>137</v>
      </c>
      <c r="C38" s="10" t="n">
        <v>550</v>
      </c>
      <c r="D38" s="10" t="n">
        <v>0</v>
      </c>
      <c r="E38" s="11" t="str">
        <f aca="false">IFERROR(INDEX(Governorates!$B$4:$B$60,MATCH($A38,Governorates!$A$4:$A$60,0)),"")</f>
        <v>شبوة</v>
      </c>
      <c r="F38" s="11" t="str">
        <f aca="false">IFERROR(INDEX(Indicators!$C$4:$C$60,MATCH($B38,Indicators!$A$4:$A$60,0)),"")</f>
        <v>المستفيدون من خدمات الإصحاح والنظافة</v>
      </c>
      <c r="G38" s="9" t="n">
        <f aca="false">IF(C38&gt;0,D38/C38,0)</f>
        <v>0</v>
      </c>
    </row>
    <row r="39" customFormat="false" ht="15" hidden="false" customHeight="false" outlineLevel="0" collapsed="false">
      <c r="A39" s="7" t="s">
        <v>99</v>
      </c>
      <c r="B39" s="7" t="s">
        <v>111</v>
      </c>
      <c r="C39" s="10" t="n">
        <v>560</v>
      </c>
      <c r="D39" s="10" t="n">
        <v>0</v>
      </c>
      <c r="E39" s="11" t="str">
        <f aca="false">IFERROR(INDEX(Governorates!$B$4:$B$60,MATCH($A39,Governorates!$A$4:$A$60,0)),"")</f>
        <v>عدن</v>
      </c>
      <c r="F39" s="11" t="str">
        <f aca="false">IFERROR(INDEX(Indicators!$C$4:$C$60,MATCH($B39,Indicators!$A$4:$A$60,0)),"")</f>
        <v>الأطفال الذين حصلوا على فرص تعليم آمنة</v>
      </c>
      <c r="G39" s="9" t="n">
        <f aca="false">IF(C39&gt;0,D39/C39,0)</f>
        <v>0</v>
      </c>
    </row>
    <row r="40" customFormat="false" ht="15" hidden="false" customHeight="false" outlineLevel="0" collapsed="false">
      <c r="A40" s="7" t="s">
        <v>99</v>
      </c>
      <c r="B40" s="7" t="s">
        <v>116</v>
      </c>
      <c r="C40" s="10" t="n">
        <v>19</v>
      </c>
      <c r="D40" s="10" t="n">
        <v>0</v>
      </c>
      <c r="E40" s="11" t="str">
        <f aca="false">IFERROR(INDEX(Governorates!$B$4:$B$60,MATCH($A40,Governorates!$A$4:$A$60,0)),"")</f>
        <v>عدن</v>
      </c>
      <c r="F40" s="11" t="str">
        <f aca="false">IFERROR(INDEX(Indicators!$C$4:$C$60,MATCH($B40,Indicators!$A$4:$A$60,0)),"")</f>
        <v>المعلمون المدرّبون والمتلقون للحوافز</v>
      </c>
      <c r="G40" s="9" t="n">
        <f aca="false">IF(C40&gt;0,D40/C40,0)</f>
        <v>0</v>
      </c>
    </row>
    <row r="41" customFormat="false" ht="15" hidden="false" customHeight="false" outlineLevel="0" collapsed="false">
      <c r="A41" s="7" t="s">
        <v>99</v>
      </c>
      <c r="B41" s="7" t="s">
        <v>121</v>
      </c>
      <c r="C41" s="10" t="n">
        <v>43</v>
      </c>
      <c r="D41" s="10" t="n">
        <v>0</v>
      </c>
      <c r="E41" s="11" t="str">
        <f aca="false">IFERROR(INDEX(Governorates!$B$4:$B$60,MATCH($A41,Governorates!$A$4:$A$60,0)),"")</f>
        <v>عدن</v>
      </c>
      <c r="F41" s="11" t="str">
        <f aca="false">IFERROR(INDEX(Indicators!$C$4:$C$60,MATCH($B41,Indicators!$A$4:$A$60,0)),"")</f>
        <v>الأطفال المستفيدون من إدارة الحالة</v>
      </c>
      <c r="G41" s="9" t="n">
        <f aca="false">IF(C41&gt;0,D41/C41,0)</f>
        <v>0</v>
      </c>
    </row>
    <row r="42" customFormat="false" ht="15" hidden="false" customHeight="false" outlineLevel="0" collapsed="false">
      <c r="A42" s="7" t="s">
        <v>99</v>
      </c>
      <c r="B42" s="7" t="s">
        <v>124</v>
      </c>
      <c r="C42" s="10" t="n">
        <v>861</v>
      </c>
      <c r="D42" s="10" t="n">
        <v>0</v>
      </c>
      <c r="E42" s="11" t="str">
        <f aca="false">IFERROR(INDEX(Governorates!$B$4:$B$60,MATCH($A42,Governorates!$A$4:$A$60,0)),"")</f>
        <v>عدن</v>
      </c>
      <c r="F42" s="11" t="str">
        <f aca="false">IFERROR(INDEX(Indicators!$C$4:$C$60,MATCH($B42,Indicators!$A$4:$A$60,0)),"")</f>
        <v>الأشخاص المشاركون في التوعية بالحماية</v>
      </c>
      <c r="G42" s="9" t="n">
        <f aca="false">IF(C42&gt;0,D42/C42,0)</f>
        <v>0</v>
      </c>
    </row>
    <row r="43" customFormat="false" ht="15" hidden="false" customHeight="false" outlineLevel="0" collapsed="false">
      <c r="A43" s="7" t="s">
        <v>99</v>
      </c>
      <c r="B43" s="7" t="s">
        <v>129</v>
      </c>
      <c r="C43" s="10" t="n">
        <v>560</v>
      </c>
      <c r="D43" s="10" t="n">
        <v>0</v>
      </c>
      <c r="E43" s="11" t="str">
        <f aca="false">IFERROR(INDEX(Governorates!$B$4:$B$60,MATCH($A43,Governorates!$A$4:$A$60,0)),"")</f>
        <v>عدن</v>
      </c>
      <c r="F43" s="11" t="str">
        <f aca="false">IFERROR(INDEX(Indicators!$C$4:$C$60,MATCH($B43,Indicators!$A$4:$A$60,0)),"")</f>
        <v>الأشخاص المستفيدون من خدمات المياه</v>
      </c>
      <c r="G43" s="9" t="n">
        <f aca="false">IF(C43&gt;0,D43/C43,0)</f>
        <v>0</v>
      </c>
    </row>
    <row r="44" customFormat="false" ht="15" hidden="false" customHeight="false" outlineLevel="0" collapsed="false">
      <c r="A44" s="7" t="s">
        <v>99</v>
      </c>
      <c r="B44" s="7" t="s">
        <v>132</v>
      </c>
      <c r="C44" s="10" t="n">
        <v>2</v>
      </c>
      <c r="D44" s="10" t="n">
        <v>0</v>
      </c>
      <c r="E44" s="11" t="str">
        <f aca="false">IFERROR(INDEX(Governorates!$B$4:$B$60,MATCH($A44,Governorates!$A$4:$A$60,0)),"")</f>
        <v>عدن</v>
      </c>
      <c r="F44" s="11" t="str">
        <f aca="false">IFERROR(INDEX(Indicators!$C$4:$C$60,MATCH($B44,Indicators!$A$4:$A$60,0)),"")</f>
        <v>المتطوعون المجتمعيون المدرّبون</v>
      </c>
      <c r="G44" s="9" t="n">
        <f aca="false">IF(C44&gt;0,D44/C44,0)</f>
        <v>0</v>
      </c>
    </row>
    <row r="45" customFormat="false" ht="15" hidden="false" customHeight="false" outlineLevel="0" collapsed="false">
      <c r="A45" s="7" t="s">
        <v>99</v>
      </c>
      <c r="B45" s="7" t="s">
        <v>137</v>
      </c>
      <c r="C45" s="10" t="n">
        <v>560</v>
      </c>
      <c r="D45" s="10" t="n">
        <v>0</v>
      </c>
      <c r="E45" s="11" t="str">
        <f aca="false">IFERROR(INDEX(Governorates!$B$4:$B$60,MATCH($A45,Governorates!$A$4:$A$60,0)),"")</f>
        <v>عدن</v>
      </c>
      <c r="F45" s="11" t="str">
        <f aca="false">IFERROR(INDEX(Indicators!$C$4:$C$60,MATCH($B45,Indicators!$A$4:$A$60,0)),"")</f>
        <v>المستفيدون من خدمات الإصحاح والنظافة</v>
      </c>
      <c r="G45" s="9" t="n">
        <f aca="false">IF(C45&gt;0,D45/C45,0)</f>
        <v>0</v>
      </c>
    </row>
    <row r="46" customFormat="false" ht="15" hidden="false" customHeight="false" outlineLevel="0" collapsed="false">
      <c r="A46" s="7" t="s">
        <v>102</v>
      </c>
      <c r="B46" s="7" t="s">
        <v>111</v>
      </c>
      <c r="C46" s="10" t="n">
        <v>500</v>
      </c>
      <c r="D46" s="10" t="n">
        <v>0</v>
      </c>
      <c r="E46" s="11" t="str">
        <f aca="false">IFERROR(INDEX(Governorates!$B$4:$B$60,MATCH($A46,Governorates!$A$4:$A$60,0)),"")</f>
        <v>لحج</v>
      </c>
      <c r="F46" s="11" t="str">
        <f aca="false">IFERROR(INDEX(Indicators!$C$4:$C$60,MATCH($B46,Indicators!$A$4:$A$60,0)),"")</f>
        <v>الأطفال الذين حصلوا على فرص تعليم آمنة</v>
      </c>
      <c r="G46" s="9" t="n">
        <f aca="false">IF(C46&gt;0,D46/C46,0)</f>
        <v>0</v>
      </c>
    </row>
    <row r="47" customFormat="false" ht="15" hidden="false" customHeight="false" outlineLevel="0" collapsed="false">
      <c r="A47" s="7" t="s">
        <v>102</v>
      </c>
      <c r="B47" s="7" t="s">
        <v>116</v>
      </c>
      <c r="C47" s="10" t="n">
        <v>17</v>
      </c>
      <c r="D47" s="10" t="n">
        <v>0</v>
      </c>
      <c r="E47" s="11" t="str">
        <f aca="false">IFERROR(INDEX(Governorates!$B$4:$B$60,MATCH($A47,Governorates!$A$4:$A$60,0)),"")</f>
        <v>لحج</v>
      </c>
      <c r="F47" s="11" t="str">
        <f aca="false">IFERROR(INDEX(Indicators!$C$4:$C$60,MATCH($B47,Indicators!$A$4:$A$60,0)),"")</f>
        <v>المعلمون المدرّبون والمتلقون للحوافز</v>
      </c>
      <c r="G47" s="9" t="n">
        <f aca="false">IF(C47&gt;0,D47/C47,0)</f>
        <v>0</v>
      </c>
    </row>
    <row r="48" customFormat="false" ht="15" hidden="false" customHeight="false" outlineLevel="0" collapsed="false">
      <c r="A48" s="7" t="s">
        <v>102</v>
      </c>
      <c r="B48" s="7" t="s">
        <v>121</v>
      </c>
      <c r="C48" s="10" t="n">
        <v>39</v>
      </c>
      <c r="D48" s="10" t="n">
        <v>0</v>
      </c>
      <c r="E48" s="11" t="str">
        <f aca="false">IFERROR(INDEX(Governorates!$B$4:$B$60,MATCH($A48,Governorates!$A$4:$A$60,0)),"")</f>
        <v>لحج</v>
      </c>
      <c r="F48" s="11" t="str">
        <f aca="false">IFERROR(INDEX(Indicators!$C$4:$C$60,MATCH($B48,Indicators!$A$4:$A$60,0)),"")</f>
        <v>الأطفال المستفيدون من إدارة الحالة</v>
      </c>
      <c r="G48" s="9" t="n">
        <f aca="false">IF(C48&gt;0,D48/C48,0)</f>
        <v>0</v>
      </c>
    </row>
    <row r="49" customFormat="false" ht="15" hidden="false" customHeight="false" outlineLevel="0" collapsed="false">
      <c r="A49" s="7" t="s">
        <v>102</v>
      </c>
      <c r="B49" s="7" t="s">
        <v>124</v>
      </c>
      <c r="C49" s="10" t="n">
        <v>769</v>
      </c>
      <c r="D49" s="10" t="n">
        <v>0</v>
      </c>
      <c r="E49" s="11" t="str">
        <f aca="false">IFERROR(INDEX(Governorates!$B$4:$B$60,MATCH($A49,Governorates!$A$4:$A$60,0)),"")</f>
        <v>لحج</v>
      </c>
      <c r="F49" s="11" t="str">
        <f aca="false">IFERROR(INDEX(Indicators!$C$4:$C$60,MATCH($B49,Indicators!$A$4:$A$60,0)),"")</f>
        <v>الأشخاص المشاركون في التوعية بالحماية</v>
      </c>
      <c r="G49" s="9" t="n">
        <f aca="false">IF(C49&gt;0,D49/C49,0)</f>
        <v>0</v>
      </c>
    </row>
    <row r="50" customFormat="false" ht="15" hidden="false" customHeight="false" outlineLevel="0" collapsed="false">
      <c r="A50" s="7" t="s">
        <v>102</v>
      </c>
      <c r="B50" s="7" t="s">
        <v>129</v>
      </c>
      <c r="C50" s="10" t="n">
        <v>500</v>
      </c>
      <c r="D50" s="10" t="n">
        <v>0</v>
      </c>
      <c r="E50" s="11" t="str">
        <f aca="false">IFERROR(INDEX(Governorates!$B$4:$B$60,MATCH($A50,Governorates!$A$4:$A$60,0)),"")</f>
        <v>لحج</v>
      </c>
      <c r="F50" s="11" t="str">
        <f aca="false">IFERROR(INDEX(Indicators!$C$4:$C$60,MATCH($B50,Indicators!$A$4:$A$60,0)),"")</f>
        <v>الأشخاص المستفيدون من خدمات المياه</v>
      </c>
      <c r="G50" s="9" t="n">
        <f aca="false">IF(C50&gt;0,D50/C50,0)</f>
        <v>0</v>
      </c>
    </row>
    <row r="51" customFormat="false" ht="15" hidden="false" customHeight="false" outlineLevel="0" collapsed="false">
      <c r="A51" s="7" t="s">
        <v>102</v>
      </c>
      <c r="B51" s="7" t="s">
        <v>132</v>
      </c>
      <c r="C51" s="10" t="n">
        <v>1</v>
      </c>
      <c r="D51" s="10" t="n">
        <v>0</v>
      </c>
      <c r="E51" s="11" t="str">
        <f aca="false">IFERROR(INDEX(Governorates!$B$4:$B$60,MATCH($A51,Governorates!$A$4:$A$60,0)),"")</f>
        <v>لحج</v>
      </c>
      <c r="F51" s="11" t="str">
        <f aca="false">IFERROR(INDEX(Indicators!$C$4:$C$60,MATCH($B51,Indicators!$A$4:$A$60,0)),"")</f>
        <v>المتطوعون المجتمعيون المدرّبون</v>
      </c>
      <c r="G51" s="9" t="n">
        <f aca="false">IF(C51&gt;0,D51/C51,0)</f>
        <v>0</v>
      </c>
    </row>
    <row r="52" customFormat="false" ht="15" hidden="false" customHeight="false" outlineLevel="0" collapsed="false">
      <c r="A52" s="7" t="s">
        <v>102</v>
      </c>
      <c r="B52" s="7" t="s">
        <v>137</v>
      </c>
      <c r="C52" s="10" t="n">
        <v>500</v>
      </c>
      <c r="D52" s="10" t="n">
        <v>0</v>
      </c>
      <c r="E52" s="11" t="str">
        <f aca="false">IFERROR(INDEX(Governorates!$B$4:$B$60,MATCH($A52,Governorates!$A$4:$A$60,0)),"")</f>
        <v>لحج</v>
      </c>
      <c r="F52" s="11" t="str">
        <f aca="false">IFERROR(INDEX(Indicators!$C$4:$C$60,MATCH($B52,Indicators!$A$4:$A$60,0)),"")</f>
        <v>المستفيدون من خدمات الإصحاح والنظافة</v>
      </c>
      <c r="G52" s="9" t="n">
        <f aca="false">IF(C52&gt;0,D52/C52,0)</f>
        <v>0</v>
      </c>
    </row>
  </sheetData>
  <autoFilter ref="A3:G52"/>
  <dataValidations count="2">
    <dataValidation allowBlank="true" errorStyle="stop" operator="between" showDropDown="false" showErrorMessage="false" showInputMessage="false" sqref="A4:A500" type="list">
      <formula1>Governorates!$A$5:$A$60</formula1>
      <formula2>0</formula2>
    </dataValidation>
    <dataValidation allowBlank="true" errorStyle="stop" operator="between" showDropDown="false" showErrorMessage="false" showInputMessage="false" sqref="B4:B500" type="list">
      <formula1>Indicators!$A$4:$A$60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15" hidden="false" customHeight="false" outlineLevel="0" collapsed="false">
      <c r="A1" s="7" t="s">
        <v>13</v>
      </c>
    </row>
    <row r="3" customFormat="false" ht="15" hidden="false" customHeight="false" outlineLevel="0" collapsed="false">
      <c r="A3" s="2" t="s">
        <v>54</v>
      </c>
      <c r="B3" s="2" t="s">
        <v>105</v>
      </c>
      <c r="C3" s="2" t="s">
        <v>34</v>
      </c>
      <c r="D3" s="2" t="s">
        <v>35</v>
      </c>
      <c r="E3" s="2" t="s">
        <v>146</v>
      </c>
      <c r="F3" s="2" t="s">
        <v>108</v>
      </c>
      <c r="G3" s="2" t="s">
        <v>109</v>
      </c>
    </row>
    <row r="4" customFormat="false" ht="15" hidden="false" customHeight="false" outlineLevel="0" collapsed="false">
      <c r="A4" s="7" t="s">
        <v>147</v>
      </c>
      <c r="B4" s="7" t="s">
        <v>60</v>
      </c>
      <c r="C4" s="7" t="s">
        <v>148</v>
      </c>
      <c r="D4" s="7" t="s">
        <v>149</v>
      </c>
      <c r="E4" s="12" t="n">
        <f aca="false">SUMIFS(Activity_Data!$C$4:$C$500,Activity_Data!$B$4:$B$500,$A4)</f>
        <v>49047</v>
      </c>
      <c r="F4" s="8" t="n">
        <f aca="false">SUMIFS(Activity_Data!$D$4:$D$500,Activity_Data!$B$4:$B$500,$A4)</f>
        <v>100</v>
      </c>
      <c r="G4" s="8" t="n">
        <f aca="false">SUMIFS(Activity_Data!$E$4:$E$500,Activity_Data!$B$4:$B$500,$A4)</f>
        <v>0</v>
      </c>
    </row>
    <row r="5" customFormat="false" ht="15" hidden="false" customHeight="false" outlineLevel="0" collapsed="false">
      <c r="A5" s="7" t="s">
        <v>150</v>
      </c>
      <c r="B5" s="7" t="s">
        <v>60</v>
      </c>
      <c r="C5" s="7" t="s">
        <v>151</v>
      </c>
      <c r="D5" s="7" t="s">
        <v>152</v>
      </c>
      <c r="E5" s="12" t="n">
        <f aca="false">SUMIFS(Activity_Data!$C$4:$C$500,Activity_Data!$B$4:$B$500,$A5)</f>
        <v>93672</v>
      </c>
      <c r="F5" s="8" t="n">
        <f aca="false">SUMIFS(Activity_Data!$D$4:$D$500,Activity_Data!$B$4:$B$500,$A5)</f>
        <v>132</v>
      </c>
      <c r="G5" s="8" t="n">
        <f aca="false">SUMIFS(Activity_Data!$E$4:$E$500,Activity_Data!$B$4:$B$500,$A5)</f>
        <v>0</v>
      </c>
    </row>
    <row r="6" customFormat="false" ht="15" hidden="false" customHeight="false" outlineLevel="0" collapsed="false">
      <c r="A6" s="7" t="s">
        <v>153</v>
      </c>
      <c r="B6" s="7" t="s">
        <v>60</v>
      </c>
      <c r="C6" s="7" t="s">
        <v>154</v>
      </c>
      <c r="D6" s="7" t="s">
        <v>155</v>
      </c>
      <c r="E6" s="12" t="n">
        <f aca="false">SUMIFS(Activity_Data!$C$4:$C$500,Activity_Data!$B$4:$B$500,$A6)</f>
        <v>242400</v>
      </c>
      <c r="F6" s="8" t="n">
        <f aca="false">SUMIFS(Activity_Data!$D$4:$D$500,Activity_Data!$B$4:$B$500,$A6)</f>
        <v>3900</v>
      </c>
      <c r="G6" s="8" t="n">
        <f aca="false">SUMIFS(Activity_Data!$E$4:$E$500,Activity_Data!$B$4:$B$500,$A6)</f>
        <v>0</v>
      </c>
    </row>
    <row r="7" customFormat="false" ht="15" hidden="false" customHeight="false" outlineLevel="0" collapsed="false">
      <c r="A7" s="7" t="s">
        <v>156</v>
      </c>
      <c r="B7" s="7" t="s">
        <v>64</v>
      </c>
      <c r="C7" s="7" t="s">
        <v>157</v>
      </c>
      <c r="D7" s="7" t="s">
        <v>158</v>
      </c>
      <c r="E7" s="12" t="n">
        <f aca="false">SUMIFS(Activity_Data!$C$4:$C$500,Activity_Data!$B$4:$B$500,$A7)</f>
        <v>73485</v>
      </c>
      <c r="F7" s="8" t="n">
        <f aca="false">SUMIFS(Activity_Data!$D$4:$D$500,Activity_Data!$B$4:$B$500,$A7)</f>
        <v>6000</v>
      </c>
      <c r="G7" s="8" t="n">
        <f aca="false">SUMIFS(Activity_Data!$E$4:$E$500,Activity_Data!$B$4:$B$500,$A7)</f>
        <v>0</v>
      </c>
    </row>
    <row r="8" customFormat="false" ht="15" hidden="false" customHeight="false" outlineLevel="0" collapsed="false">
      <c r="A8" s="7" t="s">
        <v>159</v>
      </c>
      <c r="B8" s="7" t="s">
        <v>64</v>
      </c>
      <c r="C8" s="7" t="s">
        <v>160</v>
      </c>
      <c r="D8" s="7" t="s">
        <v>161</v>
      </c>
      <c r="E8" s="12" t="n">
        <f aca="false">SUMIFS(Activity_Data!$C$4:$C$500,Activity_Data!$B$4:$B$500,$A8)</f>
        <v>129580</v>
      </c>
      <c r="F8" s="8" t="n">
        <f aca="false">SUMIFS(Activity_Data!$D$4:$D$500,Activity_Data!$B$4:$B$500,$A8)</f>
        <v>300</v>
      </c>
      <c r="G8" s="8" t="n">
        <f aca="false">SUMIFS(Activity_Data!$E$4:$E$500,Activity_Data!$B$4:$B$500,$A8)</f>
        <v>0</v>
      </c>
    </row>
    <row r="9" customFormat="false" ht="15" hidden="false" customHeight="false" outlineLevel="0" collapsed="false">
      <c r="A9" s="7" t="s">
        <v>162</v>
      </c>
      <c r="B9" s="7" t="s">
        <v>68</v>
      </c>
      <c r="C9" s="7" t="s">
        <v>163</v>
      </c>
      <c r="D9" s="7" t="s">
        <v>164</v>
      </c>
      <c r="E9" s="12" t="n">
        <f aca="false">SUMIFS(Activity_Data!$C$4:$C$500,Activity_Data!$B$4:$B$500,$A9)</f>
        <v>71706.2</v>
      </c>
      <c r="F9" s="8" t="n">
        <f aca="false">SUMIFS(Activity_Data!$D$4:$D$500,Activity_Data!$B$4:$B$500,$A9)</f>
        <v>3900</v>
      </c>
      <c r="G9" s="8" t="n">
        <f aca="false">SUMIFS(Activity_Data!$E$4:$E$500,Activity_Data!$B$4:$B$500,$A9)</f>
        <v>0</v>
      </c>
    </row>
    <row r="10" customFormat="false" ht="15" hidden="false" customHeight="false" outlineLevel="0" collapsed="false">
      <c r="A10" s="7" t="s">
        <v>165</v>
      </c>
      <c r="B10" s="7" t="s">
        <v>76</v>
      </c>
      <c r="C10" s="7" t="s">
        <v>166</v>
      </c>
      <c r="D10" s="7" t="s">
        <v>167</v>
      </c>
      <c r="E10" s="12" t="n">
        <f aca="false">SUMIFS(Activity_Data!$C$4:$C$500,Activity_Data!$B$4:$B$500,$A10)</f>
        <v>26661</v>
      </c>
      <c r="F10" s="8" t="n">
        <f aca="false">SUMIFS(Activity_Data!$D$4:$D$500,Activity_Data!$B$4:$B$500,$A10)</f>
        <v>3900</v>
      </c>
      <c r="G10" s="8" t="n">
        <f aca="false">SUMIFS(Activity_Data!$E$4:$E$500,Activity_Data!$B$4:$B$500,$A10)</f>
        <v>0</v>
      </c>
    </row>
    <row r="11" customFormat="false" ht="15" hidden="false" customHeight="false" outlineLevel="0" collapsed="false">
      <c r="A11" s="7" t="s">
        <v>168</v>
      </c>
      <c r="B11" s="7" t="s">
        <v>72</v>
      </c>
      <c r="C11" s="7" t="s">
        <v>169</v>
      </c>
      <c r="D11" s="7" t="s">
        <v>170</v>
      </c>
      <c r="E11" s="12" t="n">
        <f aca="false">SUMIFS(Activity_Data!$C$4:$C$500,Activity_Data!$B$4:$B$500,$A11)</f>
        <v>12900</v>
      </c>
      <c r="F11" s="8" t="n">
        <f aca="false">SUMIFS(Activity_Data!$D$4:$D$500,Activity_Data!$B$4:$B$500,$A11)</f>
        <v>3900</v>
      </c>
      <c r="G11" s="8" t="n">
        <f aca="false">SUMIFS(Activity_Data!$E$4:$E$500,Activity_Data!$B$4:$B$500,$A11)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7" t="s">
        <v>15</v>
      </c>
    </row>
    <row r="3" customFormat="false" ht="15" hidden="false" customHeight="false" outlineLevel="0" collapsed="false">
      <c r="A3" s="2" t="s">
        <v>140</v>
      </c>
      <c r="B3" s="2" t="s">
        <v>171</v>
      </c>
      <c r="C3" s="2" t="s">
        <v>172</v>
      </c>
      <c r="D3" s="2" t="s">
        <v>142</v>
      </c>
      <c r="E3" s="2" t="s">
        <v>143</v>
      </c>
      <c r="F3" s="2" t="s">
        <v>173</v>
      </c>
      <c r="G3" s="2" t="s">
        <v>144</v>
      </c>
      <c r="H3" s="2" t="s">
        <v>174</v>
      </c>
      <c r="I3" s="2" t="s">
        <v>105</v>
      </c>
    </row>
    <row r="4" customFormat="false" ht="15" hidden="false" customHeight="false" outlineLevel="0" collapsed="false">
      <c r="A4" s="7" t="s">
        <v>84</v>
      </c>
      <c r="B4" s="7" t="s">
        <v>147</v>
      </c>
      <c r="C4" s="13" t="n">
        <v>7042.65</v>
      </c>
      <c r="D4" s="10" t="n">
        <v>15</v>
      </c>
      <c r="E4" s="10" t="n">
        <v>0</v>
      </c>
      <c r="F4" s="7" t="s">
        <v>175</v>
      </c>
      <c r="G4" s="11" t="str">
        <f aca="false">IFERROR(INDEX(Governorates!$B$4:$B$60,MATCH($A4,Governorates!$A$4:$A$60,0)),"")</f>
        <v>أبين</v>
      </c>
      <c r="H4" s="11" t="str">
        <f aca="false">IFERROR(INDEX(Activities!$C$4:$C$60,MATCH($B4,Activities!$A$4:$A$60,0)),"")</f>
        <v>المشاركة المجتمعية وتفعيل لجان التعليم</v>
      </c>
      <c r="I4" s="11" t="str">
        <f aca="false">IFERROR(INDEX(Activities!$B$4:$B$60,MATCH($B4,Activities!$A$4:$A$60,0)),"")</f>
        <v>EDU</v>
      </c>
    </row>
    <row r="5" customFormat="false" ht="15" hidden="false" customHeight="false" outlineLevel="0" collapsed="false">
      <c r="A5" s="7" t="s">
        <v>84</v>
      </c>
      <c r="B5" s="7" t="s">
        <v>150</v>
      </c>
      <c r="C5" s="13" t="n">
        <v>13450.34</v>
      </c>
      <c r="D5" s="10" t="n">
        <v>19</v>
      </c>
      <c r="E5" s="10" t="n">
        <v>0</v>
      </c>
      <c r="F5" s="7" t="s">
        <v>175</v>
      </c>
      <c r="G5" s="11" t="str">
        <f aca="false">IFERROR(INDEX(Governorates!$B$4:$B$60,MATCH($A5,Governorates!$A$4:$A$60,0)),"")</f>
        <v>أبين</v>
      </c>
      <c r="H5" s="11" t="str">
        <f aca="false">IFERROR(INDEX(Activities!$C$4:$C$60,MATCH($B5,Activities!$A$4:$A$60,0)),"")</f>
        <v>التعليم الاستدراكي وبناء قدرات المعلمين</v>
      </c>
      <c r="I5" s="11" t="str">
        <f aca="false">IFERROR(INDEX(Activities!$B$4:$B$60,MATCH($B5,Activities!$A$4:$A$60,0)),"")</f>
        <v>EDU</v>
      </c>
    </row>
    <row r="6" customFormat="false" ht="15" hidden="false" customHeight="false" outlineLevel="0" collapsed="false">
      <c r="A6" s="7" t="s">
        <v>84</v>
      </c>
      <c r="B6" s="7" t="s">
        <v>153</v>
      </c>
      <c r="C6" s="13" t="n">
        <v>34806.15</v>
      </c>
      <c r="D6" s="10" t="n">
        <v>560</v>
      </c>
      <c r="E6" s="10" t="n">
        <v>0</v>
      </c>
      <c r="F6" s="7" t="s">
        <v>175</v>
      </c>
      <c r="G6" s="11" t="str">
        <f aca="false">IFERROR(INDEX(Governorates!$B$4:$B$60,MATCH($A6,Governorates!$A$4:$A$60,0)),"")</f>
        <v>أبين</v>
      </c>
      <c r="H6" s="11" t="str">
        <f aca="false">IFERROR(INDEX(Activities!$C$4:$C$60,MATCH($B6,Activities!$A$4:$A$60,0)),"")</f>
        <v>حقائب التعلم ومساحات التعلم المؤقتة</v>
      </c>
      <c r="I6" s="11" t="str">
        <f aca="false">IFERROR(INDEX(Activities!$B$4:$B$60,MATCH($B6,Activities!$A$4:$A$60,0)),"")</f>
        <v>EDU</v>
      </c>
    </row>
    <row r="7" customFormat="false" ht="15" hidden="false" customHeight="false" outlineLevel="0" collapsed="false">
      <c r="A7" s="7" t="s">
        <v>84</v>
      </c>
      <c r="B7" s="7" t="s">
        <v>156</v>
      </c>
      <c r="C7" s="13" t="n">
        <v>10551.69</v>
      </c>
      <c r="D7" s="10" t="n">
        <v>862</v>
      </c>
      <c r="E7" s="10" t="n">
        <v>0</v>
      </c>
      <c r="F7" s="7" t="s">
        <v>175</v>
      </c>
      <c r="G7" s="11" t="str">
        <f aca="false">IFERROR(INDEX(Governorates!$B$4:$B$60,MATCH($A7,Governorates!$A$4:$A$60,0)),"")</f>
        <v>أبين</v>
      </c>
      <c r="H7" s="11" t="str">
        <f aca="false">IFERROR(INDEX(Activities!$C$4:$C$60,MATCH($B7,Activities!$A$4:$A$60,0)),"")</f>
        <v>التوعية بمخاطر الذخائر المتفجرة</v>
      </c>
      <c r="I7" s="11" t="str">
        <f aca="false">IFERROR(INDEX(Activities!$B$4:$B$60,MATCH($B7,Activities!$A$4:$A$60,0)),"")</f>
        <v>CP</v>
      </c>
    </row>
    <row r="8" customFormat="false" ht="15" hidden="false" customHeight="false" outlineLevel="0" collapsed="false">
      <c r="A8" s="7" t="s">
        <v>84</v>
      </c>
      <c r="B8" s="7" t="s">
        <v>159</v>
      </c>
      <c r="C8" s="13" t="n">
        <v>18606.36</v>
      </c>
      <c r="D8" s="10" t="n">
        <v>43</v>
      </c>
      <c r="E8" s="10" t="n">
        <v>0</v>
      </c>
      <c r="F8" s="7" t="s">
        <v>175</v>
      </c>
      <c r="G8" s="11" t="str">
        <f aca="false">IFERROR(INDEX(Governorates!$B$4:$B$60,MATCH($A8,Governorates!$A$4:$A$60,0)),"")</f>
        <v>أبين</v>
      </c>
      <c r="H8" s="11" t="str">
        <f aca="false">IFERROR(INDEX(Activities!$C$4:$C$60,MATCH($B8,Activities!$A$4:$A$60,0)),"")</f>
        <v>الدعم النفسي والاجتماعي وإدارة الحالة</v>
      </c>
      <c r="I8" s="11" t="str">
        <f aca="false">IFERROR(INDEX(Activities!$B$4:$B$60,MATCH($B8,Activities!$A$4:$A$60,0)),"")</f>
        <v>CP</v>
      </c>
    </row>
    <row r="9" customFormat="false" ht="15" hidden="false" customHeight="false" outlineLevel="0" collapsed="false">
      <c r="A9" s="7" t="s">
        <v>84</v>
      </c>
      <c r="B9" s="7" t="s">
        <v>162</v>
      </c>
      <c r="C9" s="13" t="n">
        <v>10296.28</v>
      </c>
      <c r="D9" s="10" t="n">
        <v>560</v>
      </c>
      <c r="E9" s="10" t="n">
        <v>0</v>
      </c>
      <c r="F9" s="7" t="s">
        <v>175</v>
      </c>
      <c r="G9" s="11" t="str">
        <f aca="false">IFERROR(INDEX(Governorates!$B$4:$B$60,MATCH($A9,Governorates!$A$4:$A$60,0)),"")</f>
        <v>أبين</v>
      </c>
      <c r="H9" s="11" t="str">
        <f aca="false">IFERROR(INDEX(Activities!$C$4:$C$60,MATCH($B9,Activities!$A$4:$A$60,0)),"")</f>
        <v>تأهيل نقاط ومصادر المياه</v>
      </c>
      <c r="I9" s="11" t="str">
        <f aca="false">IFERROR(INDEX(Activities!$B$4:$B$60,MATCH($B9,Activities!$A$4:$A$60,0)),"")</f>
        <v>WATER</v>
      </c>
    </row>
    <row r="10" customFormat="false" ht="15" hidden="false" customHeight="false" outlineLevel="0" collapsed="false">
      <c r="A10" s="7" t="s">
        <v>84</v>
      </c>
      <c r="B10" s="7" t="s">
        <v>165</v>
      </c>
      <c r="C10" s="13" t="n">
        <v>3828.25</v>
      </c>
      <c r="D10" s="10" t="n">
        <v>560</v>
      </c>
      <c r="E10" s="10" t="n">
        <v>0</v>
      </c>
      <c r="F10" s="7" t="s">
        <v>175</v>
      </c>
      <c r="G10" s="11" t="str">
        <f aca="false">IFERROR(INDEX(Governorates!$B$4:$B$60,MATCH($A10,Governorates!$A$4:$A$60,0)),"")</f>
        <v>أبين</v>
      </c>
      <c r="H10" s="11" t="str">
        <f aca="false">IFERROR(INDEX(Activities!$C$4:$C$60,MATCH($B10,Activities!$A$4:$A$60,0)),"")</f>
        <v>تدريب المتطوعين والتوعية المجتمعية</v>
      </c>
      <c r="I10" s="11" t="str">
        <f aca="false">IFERROR(INDEX(Activities!$B$4:$B$60,MATCH($B10,Activities!$A$4:$A$60,0)),"")</f>
        <v>SBC</v>
      </c>
    </row>
    <row r="11" customFormat="false" ht="15" hidden="false" customHeight="false" outlineLevel="0" collapsed="false">
      <c r="A11" s="7" t="s">
        <v>84</v>
      </c>
      <c r="B11" s="7" t="s">
        <v>168</v>
      </c>
      <c r="C11" s="13" t="n">
        <v>1852.31</v>
      </c>
      <c r="D11" s="10" t="n">
        <v>560</v>
      </c>
      <c r="E11" s="10" t="n">
        <v>0</v>
      </c>
      <c r="F11" s="7" t="s">
        <v>175</v>
      </c>
      <c r="G11" s="11" t="str">
        <f aca="false">IFERROR(INDEX(Governorates!$B$4:$B$60,MATCH($A11,Governorates!$A$4:$A$60,0)),"")</f>
        <v>أبين</v>
      </c>
      <c r="H11" s="11" t="str">
        <f aca="false">IFERROR(INDEX(Activities!$C$4:$C$60,MATCH($B11,Activities!$A$4:$A$60,0)),"")</f>
        <v>توزيع حقائب النظافة</v>
      </c>
      <c r="I11" s="11" t="str">
        <f aca="false">IFERROR(INDEX(Activities!$B$4:$B$60,MATCH($B11,Activities!$A$4:$A$60,0)),"")</f>
        <v>SAN</v>
      </c>
    </row>
    <row r="12" customFormat="false" ht="15" hidden="false" customHeight="false" outlineLevel="0" collapsed="false">
      <c r="A12" s="7" t="s">
        <v>87</v>
      </c>
      <c r="B12" s="7" t="s">
        <v>147</v>
      </c>
      <c r="C12" s="13" t="n">
        <v>7042.65</v>
      </c>
      <c r="D12" s="10" t="n">
        <v>14</v>
      </c>
      <c r="E12" s="10" t="n">
        <v>0</v>
      </c>
      <c r="F12" s="7" t="s">
        <v>175</v>
      </c>
      <c r="G12" s="11" t="str">
        <f aca="false">IFERROR(INDEX(Governorates!$B$4:$B$60,MATCH($A12,Governorates!$A$4:$A$60,0)),"")</f>
        <v>تعز</v>
      </c>
      <c r="H12" s="11" t="str">
        <f aca="false">IFERROR(INDEX(Activities!$C$4:$C$60,MATCH($B12,Activities!$A$4:$A$60,0)),"")</f>
        <v>المشاركة المجتمعية وتفعيل لجان التعليم</v>
      </c>
      <c r="I12" s="11" t="str">
        <f aca="false">IFERROR(INDEX(Activities!$B$4:$B$60,MATCH($B12,Activities!$A$4:$A$60,0)),"")</f>
        <v>EDU</v>
      </c>
    </row>
    <row r="13" customFormat="false" ht="15" hidden="false" customHeight="false" outlineLevel="0" collapsed="false">
      <c r="A13" s="7" t="s">
        <v>87</v>
      </c>
      <c r="B13" s="7" t="s">
        <v>150</v>
      </c>
      <c r="C13" s="13" t="n">
        <v>13450.34</v>
      </c>
      <c r="D13" s="10" t="n">
        <v>19</v>
      </c>
      <c r="E13" s="10" t="n">
        <v>0</v>
      </c>
      <c r="F13" s="7" t="s">
        <v>175</v>
      </c>
      <c r="G13" s="11" t="str">
        <f aca="false">IFERROR(INDEX(Governorates!$B$4:$B$60,MATCH($A13,Governorates!$A$4:$A$60,0)),"")</f>
        <v>تعز</v>
      </c>
      <c r="H13" s="11" t="str">
        <f aca="false">IFERROR(INDEX(Activities!$C$4:$C$60,MATCH($B13,Activities!$A$4:$A$60,0)),"")</f>
        <v>التعليم الاستدراكي وبناء قدرات المعلمين</v>
      </c>
      <c r="I13" s="11" t="str">
        <f aca="false">IFERROR(INDEX(Activities!$B$4:$B$60,MATCH($B13,Activities!$A$4:$A$60,0)),"")</f>
        <v>EDU</v>
      </c>
    </row>
    <row r="14" customFormat="false" ht="15" hidden="false" customHeight="false" outlineLevel="0" collapsed="false">
      <c r="A14" s="7" t="s">
        <v>87</v>
      </c>
      <c r="B14" s="7" t="s">
        <v>153</v>
      </c>
      <c r="C14" s="13" t="n">
        <v>34806.15</v>
      </c>
      <c r="D14" s="10" t="n">
        <v>560</v>
      </c>
      <c r="E14" s="10" t="n">
        <v>0</v>
      </c>
      <c r="F14" s="7" t="s">
        <v>175</v>
      </c>
      <c r="G14" s="11" t="str">
        <f aca="false">IFERROR(INDEX(Governorates!$B$4:$B$60,MATCH($A14,Governorates!$A$4:$A$60,0)),"")</f>
        <v>تعز</v>
      </c>
      <c r="H14" s="11" t="str">
        <f aca="false">IFERROR(INDEX(Activities!$C$4:$C$60,MATCH($B14,Activities!$A$4:$A$60,0)),"")</f>
        <v>حقائب التعلم ومساحات التعلم المؤقتة</v>
      </c>
      <c r="I14" s="11" t="str">
        <f aca="false">IFERROR(INDEX(Activities!$B$4:$B$60,MATCH($B14,Activities!$A$4:$A$60,0)),"")</f>
        <v>EDU</v>
      </c>
    </row>
    <row r="15" customFormat="false" ht="15" hidden="false" customHeight="false" outlineLevel="0" collapsed="false">
      <c r="A15" s="7" t="s">
        <v>87</v>
      </c>
      <c r="B15" s="7" t="s">
        <v>156</v>
      </c>
      <c r="C15" s="13" t="n">
        <v>10551.69</v>
      </c>
      <c r="D15" s="10" t="n">
        <v>862</v>
      </c>
      <c r="E15" s="10" t="n">
        <v>0</v>
      </c>
      <c r="F15" s="7" t="s">
        <v>175</v>
      </c>
      <c r="G15" s="11" t="str">
        <f aca="false">IFERROR(INDEX(Governorates!$B$4:$B$60,MATCH($A15,Governorates!$A$4:$A$60,0)),"")</f>
        <v>تعز</v>
      </c>
      <c r="H15" s="11" t="str">
        <f aca="false">IFERROR(INDEX(Activities!$C$4:$C$60,MATCH($B15,Activities!$A$4:$A$60,0)),"")</f>
        <v>التوعية بمخاطر الذخائر المتفجرة</v>
      </c>
      <c r="I15" s="11" t="str">
        <f aca="false">IFERROR(INDEX(Activities!$B$4:$B$60,MATCH($B15,Activities!$A$4:$A$60,0)),"")</f>
        <v>CP</v>
      </c>
    </row>
    <row r="16" customFormat="false" ht="15" hidden="false" customHeight="false" outlineLevel="0" collapsed="false">
      <c r="A16" s="7" t="s">
        <v>87</v>
      </c>
      <c r="B16" s="7" t="s">
        <v>159</v>
      </c>
      <c r="C16" s="13" t="n">
        <v>18606.36</v>
      </c>
      <c r="D16" s="10" t="n">
        <v>43</v>
      </c>
      <c r="E16" s="10" t="n">
        <v>0</v>
      </c>
      <c r="F16" s="7" t="s">
        <v>175</v>
      </c>
      <c r="G16" s="11" t="str">
        <f aca="false">IFERROR(INDEX(Governorates!$B$4:$B$60,MATCH($A16,Governorates!$A$4:$A$60,0)),"")</f>
        <v>تعز</v>
      </c>
      <c r="H16" s="11" t="str">
        <f aca="false">IFERROR(INDEX(Activities!$C$4:$C$60,MATCH($B16,Activities!$A$4:$A$60,0)),"")</f>
        <v>الدعم النفسي والاجتماعي وإدارة الحالة</v>
      </c>
      <c r="I16" s="11" t="str">
        <f aca="false">IFERROR(INDEX(Activities!$B$4:$B$60,MATCH($B16,Activities!$A$4:$A$60,0)),"")</f>
        <v>CP</v>
      </c>
    </row>
    <row r="17" customFormat="false" ht="15" hidden="false" customHeight="false" outlineLevel="0" collapsed="false">
      <c r="A17" s="7" t="s">
        <v>87</v>
      </c>
      <c r="B17" s="7" t="s">
        <v>162</v>
      </c>
      <c r="C17" s="13" t="n">
        <v>10296.28</v>
      </c>
      <c r="D17" s="10" t="n">
        <v>560</v>
      </c>
      <c r="E17" s="10" t="n">
        <v>0</v>
      </c>
      <c r="F17" s="7" t="s">
        <v>175</v>
      </c>
      <c r="G17" s="11" t="str">
        <f aca="false">IFERROR(INDEX(Governorates!$B$4:$B$60,MATCH($A17,Governorates!$A$4:$A$60,0)),"")</f>
        <v>تعز</v>
      </c>
      <c r="H17" s="11" t="str">
        <f aca="false">IFERROR(INDEX(Activities!$C$4:$C$60,MATCH($B17,Activities!$A$4:$A$60,0)),"")</f>
        <v>تأهيل نقاط ومصادر المياه</v>
      </c>
      <c r="I17" s="11" t="str">
        <f aca="false">IFERROR(INDEX(Activities!$B$4:$B$60,MATCH($B17,Activities!$A$4:$A$60,0)),"")</f>
        <v>WATER</v>
      </c>
    </row>
    <row r="18" customFormat="false" ht="15" hidden="false" customHeight="false" outlineLevel="0" collapsed="false">
      <c r="A18" s="7" t="s">
        <v>87</v>
      </c>
      <c r="B18" s="7" t="s">
        <v>165</v>
      </c>
      <c r="C18" s="13" t="n">
        <v>3828.25</v>
      </c>
      <c r="D18" s="10" t="n">
        <v>560</v>
      </c>
      <c r="E18" s="10" t="n">
        <v>0</v>
      </c>
      <c r="F18" s="7" t="s">
        <v>175</v>
      </c>
      <c r="G18" s="11" t="str">
        <f aca="false">IFERROR(INDEX(Governorates!$B$4:$B$60,MATCH($A18,Governorates!$A$4:$A$60,0)),"")</f>
        <v>تعز</v>
      </c>
      <c r="H18" s="11" t="str">
        <f aca="false">IFERROR(INDEX(Activities!$C$4:$C$60,MATCH($B18,Activities!$A$4:$A$60,0)),"")</f>
        <v>تدريب المتطوعين والتوعية المجتمعية</v>
      </c>
      <c r="I18" s="11" t="str">
        <f aca="false">IFERROR(INDEX(Activities!$B$4:$B$60,MATCH($B18,Activities!$A$4:$A$60,0)),"")</f>
        <v>SBC</v>
      </c>
    </row>
    <row r="19" customFormat="false" ht="15" hidden="false" customHeight="false" outlineLevel="0" collapsed="false">
      <c r="A19" s="7" t="s">
        <v>87</v>
      </c>
      <c r="B19" s="7" t="s">
        <v>168</v>
      </c>
      <c r="C19" s="13" t="n">
        <v>1852.31</v>
      </c>
      <c r="D19" s="10" t="n">
        <v>560</v>
      </c>
      <c r="E19" s="10" t="n">
        <v>0</v>
      </c>
      <c r="F19" s="7" t="s">
        <v>175</v>
      </c>
      <c r="G19" s="11" t="str">
        <f aca="false">IFERROR(INDEX(Governorates!$B$4:$B$60,MATCH($A19,Governorates!$A$4:$A$60,0)),"")</f>
        <v>تعز</v>
      </c>
      <c r="H19" s="11" t="str">
        <f aca="false">IFERROR(INDEX(Activities!$C$4:$C$60,MATCH($B19,Activities!$A$4:$A$60,0)),"")</f>
        <v>توزيع حقائب النظافة</v>
      </c>
      <c r="I19" s="11" t="str">
        <f aca="false">IFERROR(INDEX(Activities!$B$4:$B$60,MATCH($B19,Activities!$A$4:$A$60,0)),"")</f>
        <v>SAN</v>
      </c>
    </row>
    <row r="20" customFormat="false" ht="15" hidden="false" customHeight="false" outlineLevel="0" collapsed="false">
      <c r="A20" s="7" t="s">
        <v>90</v>
      </c>
      <c r="B20" s="7" t="s">
        <v>147</v>
      </c>
      <c r="C20" s="13" t="n">
        <v>6916.88</v>
      </c>
      <c r="D20" s="10" t="n">
        <v>14</v>
      </c>
      <c r="E20" s="10" t="n">
        <v>0</v>
      </c>
      <c r="F20" s="7" t="s">
        <v>175</v>
      </c>
      <c r="G20" s="11" t="str">
        <f aca="false">IFERROR(INDEX(Governorates!$B$4:$B$60,MATCH($A20,Governorates!$A$4:$A$60,0)),"")</f>
        <v>الضالع</v>
      </c>
      <c r="H20" s="11" t="str">
        <f aca="false">IFERROR(INDEX(Activities!$C$4:$C$60,MATCH($B20,Activities!$A$4:$A$60,0)),"")</f>
        <v>المشاركة المجتمعية وتفعيل لجان التعليم</v>
      </c>
      <c r="I20" s="11" t="str">
        <f aca="false">IFERROR(INDEX(Activities!$B$4:$B$60,MATCH($B20,Activities!$A$4:$A$60,0)),"")</f>
        <v>EDU</v>
      </c>
    </row>
    <row r="21" customFormat="false" ht="15" hidden="false" customHeight="false" outlineLevel="0" collapsed="false">
      <c r="A21" s="7" t="s">
        <v>90</v>
      </c>
      <c r="B21" s="7" t="s">
        <v>150</v>
      </c>
      <c r="C21" s="13" t="n">
        <v>13210.15</v>
      </c>
      <c r="D21" s="10" t="n">
        <v>19</v>
      </c>
      <c r="E21" s="10" t="n">
        <v>0</v>
      </c>
      <c r="F21" s="7" t="s">
        <v>175</v>
      </c>
      <c r="G21" s="11" t="str">
        <f aca="false">IFERROR(INDEX(Governorates!$B$4:$B$60,MATCH($A21,Governorates!$A$4:$A$60,0)),"")</f>
        <v>الضالع</v>
      </c>
      <c r="H21" s="11" t="str">
        <f aca="false">IFERROR(INDEX(Activities!$C$4:$C$60,MATCH($B21,Activities!$A$4:$A$60,0)),"")</f>
        <v>التعليم الاستدراكي وبناء قدرات المعلمين</v>
      </c>
      <c r="I21" s="11" t="str">
        <f aca="false">IFERROR(INDEX(Activities!$B$4:$B$60,MATCH($B21,Activities!$A$4:$A$60,0)),"")</f>
        <v>EDU</v>
      </c>
    </row>
    <row r="22" customFormat="false" ht="15" hidden="false" customHeight="false" outlineLevel="0" collapsed="false">
      <c r="A22" s="7" t="s">
        <v>90</v>
      </c>
      <c r="B22" s="7" t="s">
        <v>153</v>
      </c>
      <c r="C22" s="13" t="n">
        <v>34184.62</v>
      </c>
      <c r="D22" s="10" t="n">
        <v>550</v>
      </c>
      <c r="E22" s="10" t="n">
        <v>0</v>
      </c>
      <c r="F22" s="7" t="s">
        <v>175</v>
      </c>
      <c r="G22" s="11" t="str">
        <f aca="false">IFERROR(INDEX(Governorates!$B$4:$B$60,MATCH($A22,Governorates!$A$4:$A$60,0)),"")</f>
        <v>الضالع</v>
      </c>
      <c r="H22" s="11" t="str">
        <f aca="false">IFERROR(INDEX(Activities!$C$4:$C$60,MATCH($B22,Activities!$A$4:$A$60,0)),"")</f>
        <v>حقائب التعلم ومساحات التعلم المؤقتة</v>
      </c>
      <c r="I22" s="11" t="str">
        <f aca="false">IFERROR(INDEX(Activities!$B$4:$B$60,MATCH($B22,Activities!$A$4:$A$60,0)),"")</f>
        <v>EDU</v>
      </c>
    </row>
    <row r="23" customFormat="false" ht="15" hidden="false" customHeight="false" outlineLevel="0" collapsed="false">
      <c r="A23" s="7" t="s">
        <v>90</v>
      </c>
      <c r="B23" s="7" t="s">
        <v>156</v>
      </c>
      <c r="C23" s="13" t="n">
        <v>10363.27</v>
      </c>
      <c r="D23" s="10" t="n">
        <v>846</v>
      </c>
      <c r="E23" s="10" t="n">
        <v>0</v>
      </c>
      <c r="F23" s="7" t="s">
        <v>175</v>
      </c>
      <c r="G23" s="11" t="str">
        <f aca="false">IFERROR(INDEX(Governorates!$B$4:$B$60,MATCH($A23,Governorates!$A$4:$A$60,0)),"")</f>
        <v>الضالع</v>
      </c>
      <c r="H23" s="11" t="str">
        <f aca="false">IFERROR(INDEX(Activities!$C$4:$C$60,MATCH($B23,Activities!$A$4:$A$60,0)),"")</f>
        <v>التوعية بمخاطر الذخائر المتفجرة</v>
      </c>
      <c r="I23" s="11" t="str">
        <f aca="false">IFERROR(INDEX(Activities!$B$4:$B$60,MATCH($B23,Activities!$A$4:$A$60,0)),"")</f>
        <v>CP</v>
      </c>
    </row>
    <row r="24" customFormat="false" ht="15" hidden="false" customHeight="false" outlineLevel="0" collapsed="false">
      <c r="A24" s="7" t="s">
        <v>90</v>
      </c>
      <c r="B24" s="7" t="s">
        <v>159</v>
      </c>
      <c r="C24" s="13" t="n">
        <v>18274.1</v>
      </c>
      <c r="D24" s="10" t="n">
        <v>42</v>
      </c>
      <c r="E24" s="10" t="n">
        <v>0</v>
      </c>
      <c r="F24" s="7" t="s">
        <v>175</v>
      </c>
      <c r="G24" s="11" t="str">
        <f aca="false">IFERROR(INDEX(Governorates!$B$4:$B$60,MATCH($A24,Governorates!$A$4:$A$60,0)),"")</f>
        <v>الضالع</v>
      </c>
      <c r="H24" s="11" t="str">
        <f aca="false">IFERROR(INDEX(Activities!$C$4:$C$60,MATCH($B24,Activities!$A$4:$A$60,0)),"")</f>
        <v>الدعم النفسي والاجتماعي وإدارة الحالة</v>
      </c>
      <c r="I24" s="11" t="str">
        <f aca="false">IFERROR(INDEX(Activities!$B$4:$B$60,MATCH($B24,Activities!$A$4:$A$60,0)),"")</f>
        <v>CP</v>
      </c>
    </row>
    <row r="25" customFormat="false" ht="15" hidden="false" customHeight="false" outlineLevel="0" collapsed="false">
      <c r="A25" s="7" t="s">
        <v>90</v>
      </c>
      <c r="B25" s="7" t="s">
        <v>162</v>
      </c>
      <c r="C25" s="13" t="n">
        <v>10112.41</v>
      </c>
      <c r="D25" s="10" t="n">
        <v>550</v>
      </c>
      <c r="E25" s="10" t="n">
        <v>0</v>
      </c>
      <c r="F25" s="7" t="s">
        <v>175</v>
      </c>
      <c r="G25" s="11" t="str">
        <f aca="false">IFERROR(INDEX(Governorates!$B$4:$B$60,MATCH($A25,Governorates!$A$4:$A$60,0)),"")</f>
        <v>الضالع</v>
      </c>
      <c r="H25" s="11" t="str">
        <f aca="false">IFERROR(INDEX(Activities!$C$4:$C$60,MATCH($B25,Activities!$A$4:$A$60,0)),"")</f>
        <v>تأهيل نقاط ومصادر المياه</v>
      </c>
      <c r="I25" s="11" t="str">
        <f aca="false">IFERROR(INDEX(Activities!$B$4:$B$60,MATCH($B25,Activities!$A$4:$A$60,0)),"")</f>
        <v>WATER</v>
      </c>
    </row>
    <row r="26" customFormat="false" ht="15" hidden="false" customHeight="false" outlineLevel="0" collapsed="false">
      <c r="A26" s="7" t="s">
        <v>90</v>
      </c>
      <c r="B26" s="7" t="s">
        <v>165</v>
      </c>
      <c r="C26" s="13" t="n">
        <v>3759.88</v>
      </c>
      <c r="D26" s="10" t="n">
        <v>550</v>
      </c>
      <c r="E26" s="10" t="n">
        <v>0</v>
      </c>
      <c r="F26" s="7" t="s">
        <v>175</v>
      </c>
      <c r="G26" s="11" t="str">
        <f aca="false">IFERROR(INDEX(Governorates!$B$4:$B$60,MATCH($A26,Governorates!$A$4:$A$60,0)),"")</f>
        <v>الضالع</v>
      </c>
      <c r="H26" s="11" t="str">
        <f aca="false">IFERROR(INDEX(Activities!$C$4:$C$60,MATCH($B26,Activities!$A$4:$A$60,0)),"")</f>
        <v>تدريب المتطوعين والتوعية المجتمعية</v>
      </c>
      <c r="I26" s="11" t="str">
        <f aca="false">IFERROR(INDEX(Activities!$B$4:$B$60,MATCH($B26,Activities!$A$4:$A$60,0)),"")</f>
        <v>SBC</v>
      </c>
    </row>
    <row r="27" customFormat="false" ht="15" hidden="false" customHeight="false" outlineLevel="0" collapsed="false">
      <c r="A27" s="7" t="s">
        <v>90</v>
      </c>
      <c r="B27" s="7" t="s">
        <v>168</v>
      </c>
      <c r="C27" s="13" t="n">
        <v>1819.23</v>
      </c>
      <c r="D27" s="10" t="n">
        <v>550</v>
      </c>
      <c r="E27" s="10" t="n">
        <v>0</v>
      </c>
      <c r="F27" s="7" t="s">
        <v>175</v>
      </c>
      <c r="G27" s="11" t="str">
        <f aca="false">IFERROR(INDEX(Governorates!$B$4:$B$60,MATCH($A27,Governorates!$A$4:$A$60,0)),"")</f>
        <v>الضالع</v>
      </c>
      <c r="H27" s="11" t="str">
        <f aca="false">IFERROR(INDEX(Activities!$C$4:$C$60,MATCH($B27,Activities!$A$4:$A$60,0)),"")</f>
        <v>توزيع حقائب النظافة</v>
      </c>
      <c r="I27" s="11" t="str">
        <f aca="false">IFERROR(INDEX(Activities!$B$4:$B$60,MATCH($B27,Activities!$A$4:$A$60,0)),"")</f>
        <v>SAN</v>
      </c>
    </row>
    <row r="28" customFormat="false" ht="15" hidden="false" customHeight="false" outlineLevel="0" collapsed="false">
      <c r="A28" s="7" t="s">
        <v>93</v>
      </c>
      <c r="B28" s="7" t="s">
        <v>147</v>
      </c>
      <c r="C28" s="13" t="n">
        <v>7797.21</v>
      </c>
      <c r="D28" s="10" t="n">
        <v>16</v>
      </c>
      <c r="E28" s="10" t="n">
        <v>0</v>
      </c>
      <c r="F28" s="7" t="s">
        <v>175</v>
      </c>
      <c r="G28" s="11" t="str">
        <f aca="false">IFERROR(INDEX(Governorates!$B$4:$B$60,MATCH($A28,Governorates!$A$4:$A$60,0)),"")</f>
        <v>الحديدة</v>
      </c>
      <c r="H28" s="11" t="str">
        <f aca="false">IFERROR(INDEX(Activities!$C$4:$C$60,MATCH($B28,Activities!$A$4:$A$60,0)),"")</f>
        <v>المشاركة المجتمعية وتفعيل لجان التعليم</v>
      </c>
      <c r="I28" s="11" t="str">
        <f aca="false">IFERROR(INDEX(Activities!$B$4:$B$60,MATCH($B28,Activities!$A$4:$A$60,0)),"")</f>
        <v>EDU</v>
      </c>
    </row>
    <row r="29" customFormat="false" ht="15" hidden="false" customHeight="false" outlineLevel="0" collapsed="false">
      <c r="A29" s="7" t="s">
        <v>93</v>
      </c>
      <c r="B29" s="7" t="s">
        <v>150</v>
      </c>
      <c r="C29" s="13" t="n">
        <v>14891.45</v>
      </c>
      <c r="D29" s="10" t="n">
        <v>21</v>
      </c>
      <c r="E29" s="10" t="n">
        <v>0</v>
      </c>
      <c r="F29" s="7" t="s">
        <v>175</v>
      </c>
      <c r="G29" s="11" t="str">
        <f aca="false">IFERROR(INDEX(Governorates!$B$4:$B$60,MATCH($A29,Governorates!$A$4:$A$60,0)),"")</f>
        <v>الحديدة</v>
      </c>
      <c r="H29" s="11" t="str">
        <f aca="false">IFERROR(INDEX(Activities!$C$4:$C$60,MATCH($B29,Activities!$A$4:$A$60,0)),"")</f>
        <v>التعليم الاستدراكي وبناء قدرات المعلمين</v>
      </c>
      <c r="I29" s="11" t="str">
        <f aca="false">IFERROR(INDEX(Activities!$B$4:$B$60,MATCH($B29,Activities!$A$4:$A$60,0)),"")</f>
        <v>EDU</v>
      </c>
    </row>
    <row r="30" customFormat="false" ht="15" hidden="false" customHeight="false" outlineLevel="0" collapsed="false">
      <c r="A30" s="7" t="s">
        <v>93</v>
      </c>
      <c r="B30" s="7" t="s">
        <v>153</v>
      </c>
      <c r="C30" s="13" t="n">
        <v>38535.39</v>
      </c>
      <c r="D30" s="10" t="n">
        <v>620</v>
      </c>
      <c r="E30" s="10" t="n">
        <v>0</v>
      </c>
      <c r="F30" s="7" t="s">
        <v>175</v>
      </c>
      <c r="G30" s="11" t="str">
        <f aca="false">IFERROR(INDEX(Governorates!$B$4:$B$60,MATCH($A30,Governorates!$A$4:$A$60,0)),"")</f>
        <v>الحديدة</v>
      </c>
      <c r="H30" s="11" t="str">
        <f aca="false">IFERROR(INDEX(Activities!$C$4:$C$60,MATCH($B30,Activities!$A$4:$A$60,0)),"")</f>
        <v>حقائب التعلم ومساحات التعلم المؤقتة</v>
      </c>
      <c r="I30" s="11" t="str">
        <f aca="false">IFERROR(INDEX(Activities!$B$4:$B$60,MATCH($B30,Activities!$A$4:$A$60,0)),"")</f>
        <v>EDU</v>
      </c>
    </row>
    <row r="31" customFormat="false" ht="15" hidden="false" customHeight="false" outlineLevel="0" collapsed="false">
      <c r="A31" s="7" t="s">
        <v>93</v>
      </c>
      <c r="B31" s="7" t="s">
        <v>156</v>
      </c>
      <c r="C31" s="13" t="n">
        <v>11682.23</v>
      </c>
      <c r="D31" s="10" t="n">
        <v>954</v>
      </c>
      <c r="E31" s="10" t="n">
        <v>0</v>
      </c>
      <c r="F31" s="7" t="s">
        <v>175</v>
      </c>
      <c r="G31" s="11" t="str">
        <f aca="false">IFERROR(INDEX(Governorates!$B$4:$B$60,MATCH($A31,Governorates!$A$4:$A$60,0)),"")</f>
        <v>الحديدة</v>
      </c>
      <c r="H31" s="11" t="str">
        <f aca="false">IFERROR(INDEX(Activities!$C$4:$C$60,MATCH($B31,Activities!$A$4:$A$60,0)),"")</f>
        <v>التوعية بمخاطر الذخائر المتفجرة</v>
      </c>
      <c r="I31" s="11" t="str">
        <f aca="false">IFERROR(INDEX(Activities!$B$4:$B$60,MATCH($B31,Activities!$A$4:$A$60,0)),"")</f>
        <v>CP</v>
      </c>
    </row>
    <row r="32" customFormat="false" ht="15" hidden="false" customHeight="false" outlineLevel="0" collapsed="false">
      <c r="A32" s="7" t="s">
        <v>93</v>
      </c>
      <c r="B32" s="7" t="s">
        <v>159</v>
      </c>
      <c r="C32" s="13" t="n">
        <v>20599.9</v>
      </c>
      <c r="D32" s="10" t="n">
        <v>48</v>
      </c>
      <c r="E32" s="10" t="n">
        <v>0</v>
      </c>
      <c r="F32" s="7" t="s">
        <v>175</v>
      </c>
      <c r="G32" s="11" t="str">
        <f aca="false">IFERROR(INDEX(Governorates!$B$4:$B$60,MATCH($A32,Governorates!$A$4:$A$60,0)),"")</f>
        <v>الحديدة</v>
      </c>
      <c r="H32" s="11" t="str">
        <f aca="false">IFERROR(INDEX(Activities!$C$4:$C$60,MATCH($B32,Activities!$A$4:$A$60,0)),"")</f>
        <v>الدعم النفسي والاجتماعي وإدارة الحالة</v>
      </c>
      <c r="I32" s="11" t="str">
        <f aca="false">IFERROR(INDEX(Activities!$B$4:$B$60,MATCH($B32,Activities!$A$4:$A$60,0)),"")</f>
        <v>CP</v>
      </c>
    </row>
    <row r="33" customFormat="false" ht="15" hidden="false" customHeight="false" outlineLevel="0" collapsed="false">
      <c r="A33" s="7" t="s">
        <v>93</v>
      </c>
      <c r="B33" s="7" t="s">
        <v>162</v>
      </c>
      <c r="C33" s="13" t="n">
        <v>11399.45</v>
      </c>
      <c r="D33" s="10" t="n">
        <v>620</v>
      </c>
      <c r="E33" s="10" t="n">
        <v>0</v>
      </c>
      <c r="F33" s="7" t="s">
        <v>175</v>
      </c>
      <c r="G33" s="11" t="str">
        <f aca="false">IFERROR(INDEX(Governorates!$B$4:$B$60,MATCH($A33,Governorates!$A$4:$A$60,0)),"")</f>
        <v>الحديدة</v>
      </c>
      <c r="H33" s="11" t="str">
        <f aca="false">IFERROR(INDEX(Activities!$C$4:$C$60,MATCH($B33,Activities!$A$4:$A$60,0)),"")</f>
        <v>تأهيل نقاط ومصادر المياه</v>
      </c>
      <c r="I33" s="11" t="str">
        <f aca="false">IFERROR(INDEX(Activities!$B$4:$B$60,MATCH($B33,Activities!$A$4:$A$60,0)),"")</f>
        <v>WATER</v>
      </c>
    </row>
    <row r="34" customFormat="false" ht="15" hidden="false" customHeight="false" outlineLevel="0" collapsed="false">
      <c r="A34" s="7" t="s">
        <v>93</v>
      </c>
      <c r="B34" s="7" t="s">
        <v>165</v>
      </c>
      <c r="C34" s="13" t="n">
        <v>4238.41</v>
      </c>
      <c r="D34" s="10" t="n">
        <v>620</v>
      </c>
      <c r="E34" s="10" t="n">
        <v>0</v>
      </c>
      <c r="F34" s="7" t="s">
        <v>175</v>
      </c>
      <c r="G34" s="11" t="str">
        <f aca="false">IFERROR(INDEX(Governorates!$B$4:$B$60,MATCH($A34,Governorates!$A$4:$A$60,0)),"")</f>
        <v>الحديدة</v>
      </c>
      <c r="H34" s="11" t="str">
        <f aca="false">IFERROR(INDEX(Activities!$C$4:$C$60,MATCH($B34,Activities!$A$4:$A$60,0)),"")</f>
        <v>تدريب المتطوعين والتوعية المجتمعية</v>
      </c>
      <c r="I34" s="11" t="str">
        <f aca="false">IFERROR(INDEX(Activities!$B$4:$B$60,MATCH($B34,Activities!$A$4:$A$60,0)),"")</f>
        <v>SBC</v>
      </c>
    </row>
    <row r="35" customFormat="false" ht="15" hidden="false" customHeight="false" outlineLevel="0" collapsed="false">
      <c r="A35" s="7" t="s">
        <v>93</v>
      </c>
      <c r="B35" s="7" t="s">
        <v>168</v>
      </c>
      <c r="C35" s="13" t="n">
        <v>2050.77</v>
      </c>
      <c r="D35" s="10" t="n">
        <v>620</v>
      </c>
      <c r="E35" s="10" t="n">
        <v>0</v>
      </c>
      <c r="F35" s="7" t="s">
        <v>175</v>
      </c>
      <c r="G35" s="11" t="str">
        <f aca="false">IFERROR(INDEX(Governorates!$B$4:$B$60,MATCH($A35,Governorates!$A$4:$A$60,0)),"")</f>
        <v>الحديدة</v>
      </c>
      <c r="H35" s="11" t="str">
        <f aca="false">IFERROR(INDEX(Activities!$C$4:$C$60,MATCH($B35,Activities!$A$4:$A$60,0)),"")</f>
        <v>توزيع حقائب النظافة</v>
      </c>
      <c r="I35" s="11" t="str">
        <f aca="false">IFERROR(INDEX(Activities!$B$4:$B$60,MATCH($B35,Activities!$A$4:$A$60,0)),"")</f>
        <v>SAN</v>
      </c>
    </row>
    <row r="36" customFormat="false" ht="15" hidden="false" customHeight="false" outlineLevel="0" collapsed="false">
      <c r="A36" s="7" t="s">
        <v>96</v>
      </c>
      <c r="B36" s="7" t="s">
        <v>147</v>
      </c>
      <c r="C36" s="13" t="n">
        <v>6916.88</v>
      </c>
      <c r="D36" s="10" t="n">
        <v>14</v>
      </c>
      <c r="E36" s="10" t="n">
        <v>0</v>
      </c>
      <c r="F36" s="7" t="s">
        <v>175</v>
      </c>
      <c r="G36" s="11" t="str">
        <f aca="false">IFERROR(INDEX(Governorates!$B$4:$B$60,MATCH($A36,Governorates!$A$4:$A$60,0)),"")</f>
        <v>شبوة</v>
      </c>
      <c r="H36" s="11" t="str">
        <f aca="false">IFERROR(INDEX(Activities!$C$4:$C$60,MATCH($B36,Activities!$A$4:$A$60,0)),"")</f>
        <v>المشاركة المجتمعية وتفعيل لجان التعليم</v>
      </c>
      <c r="I36" s="11" t="str">
        <f aca="false">IFERROR(INDEX(Activities!$B$4:$B$60,MATCH($B36,Activities!$A$4:$A$60,0)),"")</f>
        <v>EDU</v>
      </c>
    </row>
    <row r="37" customFormat="false" ht="15" hidden="false" customHeight="false" outlineLevel="0" collapsed="false">
      <c r="A37" s="7" t="s">
        <v>96</v>
      </c>
      <c r="B37" s="7" t="s">
        <v>150</v>
      </c>
      <c r="C37" s="13" t="n">
        <v>13210.15</v>
      </c>
      <c r="D37" s="10" t="n">
        <v>18</v>
      </c>
      <c r="E37" s="10" t="n">
        <v>0</v>
      </c>
      <c r="F37" s="7" t="s">
        <v>175</v>
      </c>
      <c r="G37" s="11" t="str">
        <f aca="false">IFERROR(INDEX(Governorates!$B$4:$B$60,MATCH($A37,Governorates!$A$4:$A$60,0)),"")</f>
        <v>شبوة</v>
      </c>
      <c r="H37" s="11" t="str">
        <f aca="false">IFERROR(INDEX(Activities!$C$4:$C$60,MATCH($B37,Activities!$A$4:$A$60,0)),"")</f>
        <v>التعليم الاستدراكي وبناء قدرات المعلمين</v>
      </c>
      <c r="I37" s="11" t="str">
        <f aca="false">IFERROR(INDEX(Activities!$B$4:$B$60,MATCH($B37,Activities!$A$4:$A$60,0)),"")</f>
        <v>EDU</v>
      </c>
    </row>
    <row r="38" customFormat="false" ht="15" hidden="false" customHeight="false" outlineLevel="0" collapsed="false">
      <c r="A38" s="7" t="s">
        <v>96</v>
      </c>
      <c r="B38" s="7" t="s">
        <v>153</v>
      </c>
      <c r="C38" s="13" t="n">
        <v>34184.62</v>
      </c>
      <c r="D38" s="10" t="n">
        <v>550</v>
      </c>
      <c r="E38" s="10" t="n">
        <v>0</v>
      </c>
      <c r="F38" s="7" t="s">
        <v>175</v>
      </c>
      <c r="G38" s="11" t="str">
        <f aca="false">IFERROR(INDEX(Governorates!$B$4:$B$60,MATCH($A38,Governorates!$A$4:$A$60,0)),"")</f>
        <v>شبوة</v>
      </c>
      <c r="H38" s="11" t="str">
        <f aca="false">IFERROR(INDEX(Activities!$C$4:$C$60,MATCH($B38,Activities!$A$4:$A$60,0)),"")</f>
        <v>حقائب التعلم ومساحات التعلم المؤقتة</v>
      </c>
      <c r="I38" s="11" t="str">
        <f aca="false">IFERROR(INDEX(Activities!$B$4:$B$60,MATCH($B38,Activities!$A$4:$A$60,0)),"")</f>
        <v>EDU</v>
      </c>
    </row>
    <row r="39" customFormat="false" ht="15" hidden="false" customHeight="false" outlineLevel="0" collapsed="false">
      <c r="A39" s="7" t="s">
        <v>96</v>
      </c>
      <c r="B39" s="7" t="s">
        <v>156</v>
      </c>
      <c r="C39" s="13" t="n">
        <v>10363.27</v>
      </c>
      <c r="D39" s="10" t="n">
        <v>846</v>
      </c>
      <c r="E39" s="10" t="n">
        <v>0</v>
      </c>
      <c r="F39" s="7" t="s">
        <v>175</v>
      </c>
      <c r="G39" s="11" t="str">
        <f aca="false">IFERROR(INDEX(Governorates!$B$4:$B$60,MATCH($A39,Governorates!$A$4:$A$60,0)),"")</f>
        <v>شبوة</v>
      </c>
      <c r="H39" s="11" t="str">
        <f aca="false">IFERROR(INDEX(Activities!$C$4:$C$60,MATCH($B39,Activities!$A$4:$A$60,0)),"")</f>
        <v>التوعية بمخاطر الذخائر المتفجرة</v>
      </c>
      <c r="I39" s="11" t="str">
        <f aca="false">IFERROR(INDEX(Activities!$B$4:$B$60,MATCH($B39,Activities!$A$4:$A$60,0)),"")</f>
        <v>CP</v>
      </c>
    </row>
    <row r="40" customFormat="false" ht="15" hidden="false" customHeight="false" outlineLevel="0" collapsed="false">
      <c r="A40" s="7" t="s">
        <v>96</v>
      </c>
      <c r="B40" s="7" t="s">
        <v>159</v>
      </c>
      <c r="C40" s="13" t="n">
        <v>18274.1</v>
      </c>
      <c r="D40" s="10" t="n">
        <v>42</v>
      </c>
      <c r="E40" s="10" t="n">
        <v>0</v>
      </c>
      <c r="F40" s="7" t="s">
        <v>175</v>
      </c>
      <c r="G40" s="11" t="str">
        <f aca="false">IFERROR(INDEX(Governorates!$B$4:$B$60,MATCH($A40,Governorates!$A$4:$A$60,0)),"")</f>
        <v>شبوة</v>
      </c>
      <c r="H40" s="11" t="str">
        <f aca="false">IFERROR(INDEX(Activities!$C$4:$C$60,MATCH($B40,Activities!$A$4:$A$60,0)),"")</f>
        <v>الدعم النفسي والاجتماعي وإدارة الحالة</v>
      </c>
      <c r="I40" s="11" t="str">
        <f aca="false">IFERROR(INDEX(Activities!$B$4:$B$60,MATCH($B40,Activities!$A$4:$A$60,0)),"")</f>
        <v>CP</v>
      </c>
    </row>
    <row r="41" customFormat="false" ht="15" hidden="false" customHeight="false" outlineLevel="0" collapsed="false">
      <c r="A41" s="7" t="s">
        <v>96</v>
      </c>
      <c r="B41" s="7" t="s">
        <v>162</v>
      </c>
      <c r="C41" s="13" t="n">
        <v>10112.41</v>
      </c>
      <c r="D41" s="10" t="n">
        <v>550</v>
      </c>
      <c r="E41" s="10" t="n">
        <v>0</v>
      </c>
      <c r="F41" s="7" t="s">
        <v>175</v>
      </c>
      <c r="G41" s="11" t="str">
        <f aca="false">IFERROR(INDEX(Governorates!$B$4:$B$60,MATCH($A41,Governorates!$A$4:$A$60,0)),"")</f>
        <v>شبوة</v>
      </c>
      <c r="H41" s="11" t="str">
        <f aca="false">IFERROR(INDEX(Activities!$C$4:$C$60,MATCH($B41,Activities!$A$4:$A$60,0)),"")</f>
        <v>تأهيل نقاط ومصادر المياه</v>
      </c>
      <c r="I41" s="11" t="str">
        <f aca="false">IFERROR(INDEX(Activities!$B$4:$B$60,MATCH($B41,Activities!$A$4:$A$60,0)),"")</f>
        <v>WATER</v>
      </c>
    </row>
    <row r="42" customFormat="false" ht="15" hidden="false" customHeight="false" outlineLevel="0" collapsed="false">
      <c r="A42" s="7" t="s">
        <v>96</v>
      </c>
      <c r="B42" s="7" t="s">
        <v>165</v>
      </c>
      <c r="C42" s="13" t="n">
        <v>3759.88</v>
      </c>
      <c r="D42" s="10" t="n">
        <v>550</v>
      </c>
      <c r="E42" s="10" t="n">
        <v>0</v>
      </c>
      <c r="F42" s="7" t="s">
        <v>175</v>
      </c>
      <c r="G42" s="11" t="str">
        <f aca="false">IFERROR(INDEX(Governorates!$B$4:$B$60,MATCH($A42,Governorates!$A$4:$A$60,0)),"")</f>
        <v>شبوة</v>
      </c>
      <c r="H42" s="11" t="str">
        <f aca="false">IFERROR(INDEX(Activities!$C$4:$C$60,MATCH($B42,Activities!$A$4:$A$60,0)),"")</f>
        <v>تدريب المتطوعين والتوعية المجتمعية</v>
      </c>
      <c r="I42" s="11" t="str">
        <f aca="false">IFERROR(INDEX(Activities!$B$4:$B$60,MATCH($B42,Activities!$A$4:$A$60,0)),"")</f>
        <v>SBC</v>
      </c>
    </row>
    <row r="43" customFormat="false" ht="15" hidden="false" customHeight="false" outlineLevel="0" collapsed="false">
      <c r="A43" s="7" t="s">
        <v>96</v>
      </c>
      <c r="B43" s="7" t="s">
        <v>168</v>
      </c>
      <c r="C43" s="13" t="n">
        <v>1819.23</v>
      </c>
      <c r="D43" s="10" t="n">
        <v>550</v>
      </c>
      <c r="E43" s="10" t="n">
        <v>0</v>
      </c>
      <c r="F43" s="7" t="s">
        <v>175</v>
      </c>
      <c r="G43" s="11" t="str">
        <f aca="false">IFERROR(INDEX(Governorates!$B$4:$B$60,MATCH($A43,Governorates!$A$4:$A$60,0)),"")</f>
        <v>شبوة</v>
      </c>
      <c r="H43" s="11" t="str">
        <f aca="false">IFERROR(INDEX(Activities!$C$4:$C$60,MATCH($B43,Activities!$A$4:$A$60,0)),"")</f>
        <v>توزيع حقائب النظافة</v>
      </c>
      <c r="I43" s="11" t="str">
        <f aca="false">IFERROR(INDEX(Activities!$B$4:$B$60,MATCH($B43,Activities!$A$4:$A$60,0)),"")</f>
        <v>SAN</v>
      </c>
    </row>
    <row r="44" customFormat="false" ht="15" hidden="false" customHeight="false" outlineLevel="0" collapsed="false">
      <c r="A44" s="7" t="s">
        <v>99</v>
      </c>
      <c r="B44" s="7" t="s">
        <v>147</v>
      </c>
      <c r="C44" s="13" t="n">
        <v>7042.65</v>
      </c>
      <c r="D44" s="10" t="n">
        <v>14</v>
      </c>
      <c r="E44" s="10" t="n">
        <v>0</v>
      </c>
      <c r="F44" s="7" t="s">
        <v>175</v>
      </c>
      <c r="G44" s="11" t="str">
        <f aca="false">IFERROR(INDEX(Governorates!$B$4:$B$60,MATCH($A44,Governorates!$A$4:$A$60,0)),"")</f>
        <v>عدن</v>
      </c>
      <c r="H44" s="11" t="str">
        <f aca="false">IFERROR(INDEX(Activities!$C$4:$C$60,MATCH($B44,Activities!$A$4:$A$60,0)),"")</f>
        <v>المشاركة المجتمعية وتفعيل لجان التعليم</v>
      </c>
      <c r="I44" s="11" t="str">
        <f aca="false">IFERROR(INDEX(Activities!$B$4:$B$60,MATCH($B44,Activities!$A$4:$A$60,0)),"")</f>
        <v>EDU</v>
      </c>
    </row>
    <row r="45" customFormat="false" ht="15" hidden="false" customHeight="false" outlineLevel="0" collapsed="false">
      <c r="A45" s="7" t="s">
        <v>99</v>
      </c>
      <c r="B45" s="7" t="s">
        <v>150</v>
      </c>
      <c r="C45" s="13" t="n">
        <v>13450.34</v>
      </c>
      <c r="D45" s="10" t="n">
        <v>19</v>
      </c>
      <c r="E45" s="10" t="n">
        <v>0</v>
      </c>
      <c r="F45" s="7" t="s">
        <v>175</v>
      </c>
      <c r="G45" s="11" t="str">
        <f aca="false">IFERROR(INDEX(Governorates!$B$4:$B$60,MATCH($A45,Governorates!$A$4:$A$60,0)),"")</f>
        <v>عدن</v>
      </c>
      <c r="H45" s="11" t="str">
        <f aca="false">IFERROR(INDEX(Activities!$C$4:$C$60,MATCH($B45,Activities!$A$4:$A$60,0)),"")</f>
        <v>التعليم الاستدراكي وبناء قدرات المعلمين</v>
      </c>
      <c r="I45" s="11" t="str">
        <f aca="false">IFERROR(INDEX(Activities!$B$4:$B$60,MATCH($B45,Activities!$A$4:$A$60,0)),"")</f>
        <v>EDU</v>
      </c>
    </row>
    <row r="46" customFormat="false" ht="15" hidden="false" customHeight="false" outlineLevel="0" collapsed="false">
      <c r="A46" s="7" t="s">
        <v>99</v>
      </c>
      <c r="B46" s="7" t="s">
        <v>153</v>
      </c>
      <c r="C46" s="13" t="n">
        <v>34806.15</v>
      </c>
      <c r="D46" s="10" t="n">
        <v>560</v>
      </c>
      <c r="E46" s="10" t="n">
        <v>0</v>
      </c>
      <c r="F46" s="7" t="s">
        <v>175</v>
      </c>
      <c r="G46" s="11" t="str">
        <f aca="false">IFERROR(INDEX(Governorates!$B$4:$B$60,MATCH($A46,Governorates!$A$4:$A$60,0)),"")</f>
        <v>عدن</v>
      </c>
      <c r="H46" s="11" t="str">
        <f aca="false">IFERROR(INDEX(Activities!$C$4:$C$60,MATCH($B46,Activities!$A$4:$A$60,0)),"")</f>
        <v>حقائب التعلم ومساحات التعلم المؤقتة</v>
      </c>
      <c r="I46" s="11" t="str">
        <f aca="false">IFERROR(INDEX(Activities!$B$4:$B$60,MATCH($B46,Activities!$A$4:$A$60,0)),"")</f>
        <v>EDU</v>
      </c>
    </row>
    <row r="47" customFormat="false" ht="15" hidden="false" customHeight="false" outlineLevel="0" collapsed="false">
      <c r="A47" s="7" t="s">
        <v>99</v>
      </c>
      <c r="B47" s="7" t="s">
        <v>156</v>
      </c>
      <c r="C47" s="13" t="n">
        <v>10551.69</v>
      </c>
      <c r="D47" s="10" t="n">
        <v>861</v>
      </c>
      <c r="E47" s="10" t="n">
        <v>0</v>
      </c>
      <c r="F47" s="7" t="s">
        <v>175</v>
      </c>
      <c r="G47" s="11" t="str">
        <f aca="false">IFERROR(INDEX(Governorates!$B$4:$B$60,MATCH($A47,Governorates!$A$4:$A$60,0)),"")</f>
        <v>عدن</v>
      </c>
      <c r="H47" s="11" t="str">
        <f aca="false">IFERROR(INDEX(Activities!$C$4:$C$60,MATCH($B47,Activities!$A$4:$A$60,0)),"")</f>
        <v>التوعية بمخاطر الذخائر المتفجرة</v>
      </c>
      <c r="I47" s="11" t="str">
        <f aca="false">IFERROR(INDEX(Activities!$B$4:$B$60,MATCH($B47,Activities!$A$4:$A$60,0)),"")</f>
        <v>CP</v>
      </c>
    </row>
    <row r="48" customFormat="false" ht="15" hidden="false" customHeight="false" outlineLevel="0" collapsed="false">
      <c r="A48" s="7" t="s">
        <v>99</v>
      </c>
      <c r="B48" s="7" t="s">
        <v>159</v>
      </c>
      <c r="C48" s="13" t="n">
        <v>18606.36</v>
      </c>
      <c r="D48" s="10" t="n">
        <v>43</v>
      </c>
      <c r="E48" s="10" t="n">
        <v>0</v>
      </c>
      <c r="F48" s="7" t="s">
        <v>175</v>
      </c>
      <c r="G48" s="11" t="str">
        <f aca="false">IFERROR(INDEX(Governorates!$B$4:$B$60,MATCH($A48,Governorates!$A$4:$A$60,0)),"")</f>
        <v>عدن</v>
      </c>
      <c r="H48" s="11" t="str">
        <f aca="false">IFERROR(INDEX(Activities!$C$4:$C$60,MATCH($B48,Activities!$A$4:$A$60,0)),"")</f>
        <v>الدعم النفسي والاجتماعي وإدارة الحالة</v>
      </c>
      <c r="I48" s="11" t="str">
        <f aca="false">IFERROR(INDEX(Activities!$B$4:$B$60,MATCH($B48,Activities!$A$4:$A$60,0)),"")</f>
        <v>CP</v>
      </c>
    </row>
    <row r="49" customFormat="false" ht="15" hidden="false" customHeight="false" outlineLevel="0" collapsed="false">
      <c r="A49" s="7" t="s">
        <v>99</v>
      </c>
      <c r="B49" s="7" t="s">
        <v>162</v>
      </c>
      <c r="C49" s="13" t="n">
        <v>10296.27</v>
      </c>
      <c r="D49" s="10" t="n">
        <v>560</v>
      </c>
      <c r="E49" s="10" t="n">
        <v>0</v>
      </c>
      <c r="F49" s="7" t="s">
        <v>175</v>
      </c>
      <c r="G49" s="11" t="str">
        <f aca="false">IFERROR(INDEX(Governorates!$B$4:$B$60,MATCH($A49,Governorates!$A$4:$A$60,0)),"")</f>
        <v>عدن</v>
      </c>
      <c r="H49" s="11" t="str">
        <f aca="false">IFERROR(INDEX(Activities!$C$4:$C$60,MATCH($B49,Activities!$A$4:$A$60,0)),"")</f>
        <v>تأهيل نقاط ومصادر المياه</v>
      </c>
      <c r="I49" s="11" t="str">
        <f aca="false">IFERROR(INDEX(Activities!$B$4:$B$60,MATCH($B49,Activities!$A$4:$A$60,0)),"")</f>
        <v>WATER</v>
      </c>
    </row>
    <row r="50" customFormat="false" ht="15" hidden="false" customHeight="false" outlineLevel="0" collapsed="false">
      <c r="A50" s="7" t="s">
        <v>99</v>
      </c>
      <c r="B50" s="7" t="s">
        <v>165</v>
      </c>
      <c r="C50" s="13" t="n">
        <v>3828.25</v>
      </c>
      <c r="D50" s="10" t="n">
        <v>560</v>
      </c>
      <c r="E50" s="10" t="n">
        <v>0</v>
      </c>
      <c r="F50" s="7" t="s">
        <v>175</v>
      </c>
      <c r="G50" s="11" t="str">
        <f aca="false">IFERROR(INDEX(Governorates!$B$4:$B$60,MATCH($A50,Governorates!$A$4:$A$60,0)),"")</f>
        <v>عدن</v>
      </c>
      <c r="H50" s="11" t="str">
        <f aca="false">IFERROR(INDEX(Activities!$C$4:$C$60,MATCH($B50,Activities!$A$4:$A$60,0)),"")</f>
        <v>تدريب المتطوعين والتوعية المجتمعية</v>
      </c>
      <c r="I50" s="11" t="str">
        <f aca="false">IFERROR(INDEX(Activities!$B$4:$B$60,MATCH($B50,Activities!$A$4:$A$60,0)),"")</f>
        <v>SBC</v>
      </c>
    </row>
    <row r="51" customFormat="false" ht="15" hidden="false" customHeight="false" outlineLevel="0" collapsed="false">
      <c r="A51" s="7" t="s">
        <v>99</v>
      </c>
      <c r="B51" s="7" t="s">
        <v>168</v>
      </c>
      <c r="C51" s="13" t="n">
        <v>1852.31</v>
      </c>
      <c r="D51" s="10" t="n">
        <v>560</v>
      </c>
      <c r="E51" s="10" t="n">
        <v>0</v>
      </c>
      <c r="F51" s="7" t="s">
        <v>175</v>
      </c>
      <c r="G51" s="11" t="str">
        <f aca="false">IFERROR(INDEX(Governorates!$B$4:$B$60,MATCH($A51,Governorates!$A$4:$A$60,0)),"")</f>
        <v>عدن</v>
      </c>
      <c r="H51" s="11" t="str">
        <f aca="false">IFERROR(INDEX(Activities!$C$4:$C$60,MATCH($B51,Activities!$A$4:$A$60,0)),"")</f>
        <v>توزيع حقائب النظافة</v>
      </c>
      <c r="I51" s="11" t="str">
        <f aca="false">IFERROR(INDEX(Activities!$B$4:$B$60,MATCH($B51,Activities!$A$4:$A$60,0)),"")</f>
        <v>SAN</v>
      </c>
    </row>
    <row r="52" customFormat="false" ht="15" hidden="false" customHeight="false" outlineLevel="0" collapsed="false">
      <c r="A52" s="7" t="s">
        <v>102</v>
      </c>
      <c r="B52" s="7" t="s">
        <v>147</v>
      </c>
      <c r="C52" s="13" t="n">
        <v>6288.08</v>
      </c>
      <c r="D52" s="10" t="n">
        <v>13</v>
      </c>
      <c r="E52" s="10" t="n">
        <v>0</v>
      </c>
      <c r="F52" s="7" t="s">
        <v>175</v>
      </c>
      <c r="G52" s="11" t="str">
        <f aca="false">IFERROR(INDEX(Governorates!$B$4:$B$60,MATCH($A52,Governorates!$A$4:$A$60,0)),"")</f>
        <v>لحج</v>
      </c>
      <c r="H52" s="11" t="str">
        <f aca="false">IFERROR(INDEX(Activities!$C$4:$C$60,MATCH($B52,Activities!$A$4:$A$60,0)),"")</f>
        <v>المشاركة المجتمعية وتفعيل لجان التعليم</v>
      </c>
      <c r="I52" s="11" t="str">
        <f aca="false">IFERROR(INDEX(Activities!$B$4:$B$60,MATCH($B52,Activities!$A$4:$A$60,0)),"")</f>
        <v>EDU</v>
      </c>
    </row>
    <row r="53" customFormat="false" ht="15" hidden="false" customHeight="false" outlineLevel="0" collapsed="false">
      <c r="A53" s="7" t="s">
        <v>102</v>
      </c>
      <c r="B53" s="7" t="s">
        <v>150</v>
      </c>
      <c r="C53" s="13" t="n">
        <v>12009.23</v>
      </c>
      <c r="D53" s="10" t="n">
        <v>17</v>
      </c>
      <c r="E53" s="10" t="n">
        <v>0</v>
      </c>
      <c r="F53" s="7" t="s">
        <v>175</v>
      </c>
      <c r="G53" s="11" t="str">
        <f aca="false">IFERROR(INDEX(Governorates!$B$4:$B$60,MATCH($A53,Governorates!$A$4:$A$60,0)),"")</f>
        <v>لحج</v>
      </c>
      <c r="H53" s="11" t="str">
        <f aca="false">IFERROR(INDEX(Activities!$C$4:$C$60,MATCH($B53,Activities!$A$4:$A$60,0)),"")</f>
        <v>التعليم الاستدراكي وبناء قدرات المعلمين</v>
      </c>
      <c r="I53" s="11" t="str">
        <f aca="false">IFERROR(INDEX(Activities!$B$4:$B$60,MATCH($B53,Activities!$A$4:$A$60,0)),"")</f>
        <v>EDU</v>
      </c>
    </row>
    <row r="54" customFormat="false" ht="15" hidden="false" customHeight="false" outlineLevel="0" collapsed="false">
      <c r="A54" s="7" t="s">
        <v>102</v>
      </c>
      <c r="B54" s="7" t="s">
        <v>153</v>
      </c>
      <c r="C54" s="13" t="n">
        <v>31076.92</v>
      </c>
      <c r="D54" s="10" t="n">
        <v>500</v>
      </c>
      <c r="E54" s="10" t="n">
        <v>0</v>
      </c>
      <c r="F54" s="7" t="s">
        <v>175</v>
      </c>
      <c r="G54" s="11" t="str">
        <f aca="false">IFERROR(INDEX(Governorates!$B$4:$B$60,MATCH($A54,Governorates!$A$4:$A$60,0)),"")</f>
        <v>لحج</v>
      </c>
      <c r="H54" s="11" t="str">
        <f aca="false">IFERROR(INDEX(Activities!$C$4:$C$60,MATCH($B54,Activities!$A$4:$A$60,0)),"")</f>
        <v>حقائب التعلم ومساحات التعلم المؤقتة</v>
      </c>
      <c r="I54" s="11" t="str">
        <f aca="false">IFERROR(INDEX(Activities!$B$4:$B$60,MATCH($B54,Activities!$A$4:$A$60,0)),"")</f>
        <v>EDU</v>
      </c>
    </row>
    <row r="55" customFormat="false" ht="15" hidden="false" customHeight="false" outlineLevel="0" collapsed="false">
      <c r="A55" s="7" t="s">
        <v>102</v>
      </c>
      <c r="B55" s="7" t="s">
        <v>156</v>
      </c>
      <c r="C55" s="13" t="n">
        <v>9421.16</v>
      </c>
      <c r="D55" s="10" t="n">
        <v>769</v>
      </c>
      <c r="E55" s="10" t="n">
        <v>0</v>
      </c>
      <c r="F55" s="7" t="s">
        <v>175</v>
      </c>
      <c r="G55" s="11" t="str">
        <f aca="false">IFERROR(INDEX(Governorates!$B$4:$B$60,MATCH($A55,Governorates!$A$4:$A$60,0)),"")</f>
        <v>لحج</v>
      </c>
      <c r="H55" s="11" t="str">
        <f aca="false">IFERROR(INDEX(Activities!$C$4:$C$60,MATCH($B55,Activities!$A$4:$A$60,0)),"")</f>
        <v>التوعية بمخاطر الذخائر المتفجرة</v>
      </c>
      <c r="I55" s="11" t="str">
        <f aca="false">IFERROR(INDEX(Activities!$B$4:$B$60,MATCH($B55,Activities!$A$4:$A$60,0)),"")</f>
        <v>CP</v>
      </c>
    </row>
    <row r="56" customFormat="false" ht="15" hidden="false" customHeight="false" outlineLevel="0" collapsed="false">
      <c r="A56" s="7" t="s">
        <v>102</v>
      </c>
      <c r="B56" s="7" t="s">
        <v>159</v>
      </c>
      <c r="C56" s="13" t="n">
        <v>16612.82</v>
      </c>
      <c r="D56" s="10" t="n">
        <v>39</v>
      </c>
      <c r="E56" s="10" t="n">
        <v>0</v>
      </c>
      <c r="F56" s="7" t="s">
        <v>175</v>
      </c>
      <c r="G56" s="11" t="str">
        <f aca="false">IFERROR(INDEX(Governorates!$B$4:$B$60,MATCH($A56,Governorates!$A$4:$A$60,0)),"")</f>
        <v>لحج</v>
      </c>
      <c r="H56" s="11" t="str">
        <f aca="false">IFERROR(INDEX(Activities!$C$4:$C$60,MATCH($B56,Activities!$A$4:$A$60,0)),"")</f>
        <v>الدعم النفسي والاجتماعي وإدارة الحالة</v>
      </c>
      <c r="I56" s="11" t="str">
        <f aca="false">IFERROR(INDEX(Activities!$B$4:$B$60,MATCH($B56,Activities!$A$4:$A$60,0)),"")</f>
        <v>CP</v>
      </c>
    </row>
    <row r="57" customFormat="false" ht="15" hidden="false" customHeight="false" outlineLevel="0" collapsed="false">
      <c r="A57" s="7" t="s">
        <v>102</v>
      </c>
      <c r="B57" s="7" t="s">
        <v>162</v>
      </c>
      <c r="C57" s="13" t="n">
        <v>9193.1</v>
      </c>
      <c r="D57" s="10" t="n">
        <v>500</v>
      </c>
      <c r="E57" s="10" t="n">
        <v>0</v>
      </c>
      <c r="F57" s="7" t="s">
        <v>175</v>
      </c>
      <c r="G57" s="11" t="str">
        <f aca="false">IFERROR(INDEX(Governorates!$B$4:$B$60,MATCH($A57,Governorates!$A$4:$A$60,0)),"")</f>
        <v>لحج</v>
      </c>
      <c r="H57" s="11" t="str">
        <f aca="false">IFERROR(INDEX(Activities!$C$4:$C$60,MATCH($B57,Activities!$A$4:$A$60,0)),"")</f>
        <v>تأهيل نقاط ومصادر المياه</v>
      </c>
      <c r="I57" s="11" t="str">
        <f aca="false">IFERROR(INDEX(Activities!$B$4:$B$60,MATCH($B57,Activities!$A$4:$A$60,0)),"")</f>
        <v>WATER</v>
      </c>
    </row>
    <row r="58" customFormat="false" ht="15" hidden="false" customHeight="false" outlineLevel="0" collapsed="false">
      <c r="A58" s="7" t="s">
        <v>102</v>
      </c>
      <c r="B58" s="7" t="s">
        <v>165</v>
      </c>
      <c r="C58" s="13" t="n">
        <v>3418.08</v>
      </c>
      <c r="D58" s="10" t="n">
        <v>500</v>
      </c>
      <c r="E58" s="10" t="n">
        <v>0</v>
      </c>
      <c r="F58" s="7" t="s">
        <v>175</v>
      </c>
      <c r="G58" s="11" t="str">
        <f aca="false">IFERROR(INDEX(Governorates!$B$4:$B$60,MATCH($A58,Governorates!$A$4:$A$60,0)),"")</f>
        <v>لحج</v>
      </c>
      <c r="H58" s="11" t="str">
        <f aca="false">IFERROR(INDEX(Activities!$C$4:$C$60,MATCH($B58,Activities!$A$4:$A$60,0)),"")</f>
        <v>تدريب المتطوعين والتوعية المجتمعية</v>
      </c>
      <c r="I58" s="11" t="str">
        <f aca="false">IFERROR(INDEX(Activities!$B$4:$B$60,MATCH($B58,Activities!$A$4:$A$60,0)),"")</f>
        <v>SBC</v>
      </c>
    </row>
    <row r="59" customFormat="false" ht="15" hidden="false" customHeight="false" outlineLevel="0" collapsed="false">
      <c r="A59" s="7" t="s">
        <v>102</v>
      </c>
      <c r="B59" s="7" t="s">
        <v>168</v>
      </c>
      <c r="C59" s="13" t="n">
        <v>1653.84</v>
      </c>
      <c r="D59" s="10" t="n">
        <v>500</v>
      </c>
      <c r="E59" s="10" t="n">
        <v>0</v>
      </c>
      <c r="F59" s="7" t="s">
        <v>175</v>
      </c>
      <c r="G59" s="11" t="str">
        <f aca="false">IFERROR(INDEX(Governorates!$B$4:$B$60,MATCH($A59,Governorates!$A$4:$A$60,0)),"")</f>
        <v>لحج</v>
      </c>
      <c r="H59" s="11" t="str">
        <f aca="false">IFERROR(INDEX(Activities!$C$4:$C$60,MATCH($B59,Activities!$A$4:$A$60,0)),"")</f>
        <v>توزيع حقائب النظافة</v>
      </c>
      <c r="I59" s="11" t="str">
        <f aca="false">IFERROR(INDEX(Activities!$B$4:$B$60,MATCH($B59,Activities!$A$4:$A$60,0)),"")</f>
        <v>SAN</v>
      </c>
    </row>
  </sheetData>
  <autoFilter ref="A3:I59"/>
  <dataValidations count="3">
    <dataValidation allowBlank="true" errorStyle="stop" operator="between" showDropDown="false" showErrorMessage="false" showInputMessage="false" sqref="A4:A500" type="list">
      <formula1>Governorates!$A$5:$A$60</formula1>
      <formula2>0</formula2>
    </dataValidation>
    <dataValidation allowBlank="true" errorStyle="stop" operator="between" showDropDown="false" showErrorMessage="false" showInputMessage="false" sqref="B4:B500" type="list">
      <formula1>Activities!$A$4:$A$60</formula1>
      <formula2>0</formula2>
    </dataValidation>
    <dataValidation allowBlank="true" errorStyle="stop" operator="between" showDropDown="false" showErrorMessage="false" showInputMessage="false" sqref="F4:F500" type="list">
      <formula1>"Planned,Ongoing,Completed"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24" activeCellId="0" sqref="F24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4" min="3" style="0" width="15"/>
    <col collapsed="false" customWidth="true" hidden="false" outlineLevel="0" max="6" min="5" style="0" width="19"/>
    <col collapsed="false" customWidth="true" hidden="false" outlineLevel="0" max="7" min="7" style="0" width="16"/>
    <col collapsed="false" customWidth="true" hidden="false" outlineLevel="0" max="8" min="8" style="0" width="26"/>
    <col collapsed="false" customWidth="true" hidden="false" outlineLevel="0" max="9" min="9" style="0" width="16"/>
  </cols>
  <sheetData>
    <row r="1" customFormat="false" ht="13.5" hidden="false" customHeight="false" outlineLevel="0" collapsed="false">
      <c r="A1" s="0" t="s">
        <v>17</v>
      </c>
    </row>
    <row r="3" customFormat="false" ht="13.5" hidden="false" customHeight="false" outlineLevel="0" collapsed="false">
      <c r="A3" s="6" t="s">
        <v>140</v>
      </c>
      <c r="B3" s="6" t="s">
        <v>105</v>
      </c>
      <c r="C3" s="6" t="s">
        <v>176</v>
      </c>
      <c r="D3" s="6" t="s">
        <v>177</v>
      </c>
      <c r="E3" s="6" t="s">
        <v>178</v>
      </c>
      <c r="F3" s="6" t="s">
        <v>179</v>
      </c>
      <c r="G3" s="2" t="s">
        <v>144</v>
      </c>
      <c r="H3" s="2" t="s">
        <v>180</v>
      </c>
      <c r="I3" s="2" t="s">
        <v>181</v>
      </c>
    </row>
    <row r="4" customFormat="false" ht="13.5" hidden="false" customHeight="false" outlineLevel="0" collapsed="false">
      <c r="A4" s="14" t="s">
        <v>84</v>
      </c>
      <c r="B4" s="14" t="s">
        <v>60</v>
      </c>
      <c r="C4" s="0" t="n">
        <v>560</v>
      </c>
      <c r="D4" s="0" t="n">
        <v>300</v>
      </c>
      <c r="E4" s="0" t="n">
        <v>93</v>
      </c>
      <c r="F4" s="0" t="n">
        <v>55</v>
      </c>
      <c r="G4" s="11" t="str">
        <f aca="false">IFERROR(INDEX(Governorates!$B$4:$B$60,MATCH($A4,Governorates!$A$4:$A$60,0)),"")</f>
        <v>أبين</v>
      </c>
      <c r="H4" s="11" t="str">
        <f aca="false">IFERROR(INDEX(Sectors!$B$4:$B$60,MATCH($B4,Sectors!$A$4:$A$60,0)),"")</f>
        <v>التعليم</v>
      </c>
      <c r="I4" s="9" t="n">
        <f aca="false">IF(C4&gt;0,D4/C4,0)</f>
        <v>0.535714285714286</v>
      </c>
    </row>
    <row r="5" customFormat="false" ht="13.5" hidden="false" customHeight="false" outlineLevel="0" collapsed="false">
      <c r="A5" s="14" t="s">
        <v>84</v>
      </c>
      <c r="B5" s="14" t="s">
        <v>64</v>
      </c>
      <c r="C5" s="0" t="n">
        <v>560</v>
      </c>
      <c r="D5" s="0" t="n">
        <v>50</v>
      </c>
      <c r="E5" s="0" t="n">
        <v>93</v>
      </c>
      <c r="F5" s="0" t="n">
        <v>6</v>
      </c>
      <c r="G5" s="11" t="str">
        <f aca="false">IFERROR(INDEX(Governorates!$B$4:$B$60,MATCH($A5,Governorates!$A$4:$A$60,0)),"")</f>
        <v>أبين</v>
      </c>
      <c r="H5" s="11" t="str">
        <f aca="false">IFERROR(INDEX(Sectors!$B$4:$B$60,MATCH($B5,Sectors!$A$4:$A$60,0)),"")</f>
        <v>حماية الطفل</v>
      </c>
      <c r="I5" s="9" t="n">
        <f aca="false">IF(C5&gt;0,D5/C5,0)</f>
        <v>0.0892857142857143</v>
      </c>
    </row>
    <row r="6" customFormat="false" ht="13.5" hidden="false" customHeight="false" outlineLevel="0" collapsed="false">
      <c r="A6" s="14" t="s">
        <v>84</v>
      </c>
      <c r="B6" s="14" t="s">
        <v>68</v>
      </c>
      <c r="C6" s="0" t="n">
        <v>560</v>
      </c>
      <c r="D6" s="0" t="n">
        <v>50</v>
      </c>
      <c r="E6" s="0" t="n">
        <v>93</v>
      </c>
      <c r="F6" s="0" t="n">
        <v>64</v>
      </c>
      <c r="G6" s="11" t="str">
        <f aca="false">IFERROR(INDEX(Governorates!$B$4:$B$60,MATCH($A6,Governorates!$A$4:$A$60,0)),"")</f>
        <v>أبين</v>
      </c>
      <c r="H6" s="11" t="str">
        <f aca="false">IFERROR(INDEX(Sectors!$B$4:$B$60,MATCH($B6,Sectors!$A$4:$A$60,0)),"")</f>
        <v>المياه</v>
      </c>
      <c r="I6" s="9" t="n">
        <f aca="false">IF(C6&gt;0,D6/C6,0)</f>
        <v>0.0892857142857143</v>
      </c>
    </row>
    <row r="7" customFormat="false" ht="13.5" hidden="false" customHeight="false" outlineLevel="0" collapsed="false">
      <c r="A7" s="14" t="s">
        <v>84</v>
      </c>
      <c r="B7" s="14" t="s">
        <v>72</v>
      </c>
      <c r="C7" s="0" t="n">
        <v>560</v>
      </c>
      <c r="D7" s="0" t="n">
        <v>56</v>
      </c>
      <c r="E7" s="0" t="n">
        <v>93</v>
      </c>
      <c r="F7" s="0" t="n">
        <v>2</v>
      </c>
      <c r="G7" s="11" t="str">
        <f aca="false">IFERROR(INDEX(Governorates!$B$4:$B$60,MATCH($A7,Governorates!$A$4:$A$60,0)),"")</f>
        <v>أبين</v>
      </c>
      <c r="H7" s="11" t="str">
        <f aca="false">IFERROR(INDEX(Sectors!$B$4:$B$60,MATCH($B7,Sectors!$A$4:$A$60,0)),"")</f>
        <v>الإصحاح والنظافة</v>
      </c>
      <c r="I7" s="9" t="n">
        <f aca="false">IF(C7&gt;0,D7/C7,0)</f>
        <v>0.1</v>
      </c>
    </row>
    <row r="8" customFormat="false" ht="13.5" hidden="false" customHeight="false" outlineLevel="0" collapsed="false">
      <c r="A8" s="14" t="s">
        <v>84</v>
      </c>
      <c r="B8" s="14" t="s">
        <v>76</v>
      </c>
      <c r="C8" s="0" t="n">
        <v>560</v>
      </c>
      <c r="D8" s="0" t="n">
        <v>65</v>
      </c>
      <c r="E8" s="0" t="n">
        <v>93</v>
      </c>
      <c r="F8" s="0" t="n">
        <v>23</v>
      </c>
      <c r="G8" s="11" t="str">
        <f aca="false">IFERROR(INDEX(Governorates!$B$4:$B$60,MATCH($A8,Governorates!$A$4:$A$60,0)),"")</f>
        <v>أبين</v>
      </c>
      <c r="H8" s="11" t="str">
        <f aca="false">IFERROR(INDEX(Sectors!$B$4:$B$60,MATCH($B8,Sectors!$A$4:$A$60,0)),"")</f>
        <v>التغيير الاجتماعي والسلوكي</v>
      </c>
      <c r="I8" s="9" t="n">
        <f aca="false">IF(C8&gt;0,D8/C8,0)</f>
        <v>0.116071428571429</v>
      </c>
    </row>
    <row r="9" customFormat="false" ht="13.5" hidden="false" customHeight="false" outlineLevel="0" collapsed="false">
      <c r="A9" s="14" t="s">
        <v>87</v>
      </c>
      <c r="B9" s="14" t="s">
        <v>60</v>
      </c>
      <c r="C9" s="0" t="n">
        <v>560</v>
      </c>
      <c r="D9" s="0" t="n">
        <v>5</v>
      </c>
      <c r="E9" s="0" t="n">
        <v>93</v>
      </c>
      <c r="F9" s="0" t="n">
        <v>3</v>
      </c>
      <c r="G9" s="11" t="str">
        <f aca="false">IFERROR(INDEX(Governorates!$B$4:$B$60,MATCH($A9,Governorates!$A$4:$A$60,0)),"")</f>
        <v>تعز</v>
      </c>
      <c r="H9" s="11" t="str">
        <f aca="false">IFERROR(INDEX(Sectors!$B$4:$B$60,MATCH($B9,Sectors!$A$4:$A$60,0)),"")</f>
        <v>التعليم</v>
      </c>
      <c r="I9" s="9" t="n">
        <f aca="false">IF(C9&gt;0,D9/C9,0)</f>
        <v>0.00892857142857143</v>
      </c>
    </row>
    <row r="10" customFormat="false" ht="13.5" hidden="false" customHeight="false" outlineLevel="0" collapsed="false">
      <c r="A10" s="14" t="s">
        <v>87</v>
      </c>
      <c r="B10" s="14" t="s">
        <v>64</v>
      </c>
      <c r="C10" s="0" t="n">
        <v>560</v>
      </c>
      <c r="D10" s="0" t="n">
        <v>56</v>
      </c>
      <c r="E10" s="0" t="n">
        <v>93</v>
      </c>
      <c r="F10" s="0" t="n">
        <v>23</v>
      </c>
      <c r="G10" s="11" t="str">
        <f aca="false">IFERROR(INDEX(Governorates!$B$4:$B$60,MATCH($A10,Governorates!$A$4:$A$60,0)),"")</f>
        <v>تعز</v>
      </c>
      <c r="H10" s="11" t="str">
        <f aca="false">IFERROR(INDEX(Sectors!$B$4:$B$60,MATCH($B10,Sectors!$A$4:$A$60,0)),"")</f>
        <v>حماية الطفل</v>
      </c>
      <c r="I10" s="9" t="n">
        <f aca="false">IF(C10&gt;0,D10/C10,0)</f>
        <v>0.1</v>
      </c>
    </row>
    <row r="11" customFormat="false" ht="13.5" hidden="false" customHeight="false" outlineLevel="0" collapsed="false">
      <c r="A11" s="14" t="s">
        <v>87</v>
      </c>
      <c r="B11" s="14" t="s">
        <v>68</v>
      </c>
      <c r="C11" s="0" t="n">
        <v>560</v>
      </c>
      <c r="D11" s="0" t="n">
        <v>61</v>
      </c>
      <c r="E11" s="0" t="n">
        <v>93</v>
      </c>
      <c r="F11" s="0" t="n">
        <v>5</v>
      </c>
      <c r="G11" s="11" t="str">
        <f aca="false">IFERROR(INDEX(Governorates!$B$4:$B$60,MATCH($A11,Governorates!$A$4:$A$60,0)),"")</f>
        <v>تعز</v>
      </c>
      <c r="H11" s="11" t="str">
        <f aca="false">IFERROR(INDEX(Sectors!$B$4:$B$60,MATCH($B11,Sectors!$A$4:$A$60,0)),"")</f>
        <v>المياه</v>
      </c>
      <c r="I11" s="9" t="n">
        <f aca="false">IF(C11&gt;0,D11/C11,0)</f>
        <v>0.108928571428571</v>
      </c>
    </row>
    <row r="12" customFormat="false" ht="13.5" hidden="false" customHeight="false" outlineLevel="0" collapsed="false">
      <c r="A12" s="14" t="s">
        <v>87</v>
      </c>
      <c r="B12" s="14" t="s">
        <v>72</v>
      </c>
      <c r="C12" s="0" t="n">
        <v>560</v>
      </c>
      <c r="D12" s="0" t="n">
        <v>65</v>
      </c>
      <c r="E12" s="0" t="n">
        <v>93</v>
      </c>
      <c r="F12" s="0" t="n">
        <v>94</v>
      </c>
      <c r="G12" s="11" t="str">
        <f aca="false">IFERROR(INDEX(Governorates!$B$4:$B$60,MATCH($A12,Governorates!$A$4:$A$60,0)),"")</f>
        <v>تعز</v>
      </c>
      <c r="H12" s="11" t="str">
        <f aca="false">IFERROR(INDEX(Sectors!$B$4:$B$60,MATCH($B12,Sectors!$A$4:$A$60,0)),"")</f>
        <v>الإصحاح والنظافة</v>
      </c>
      <c r="I12" s="9" t="n">
        <f aca="false">IF(C12&gt;0,D12/C12,0)</f>
        <v>0.116071428571429</v>
      </c>
    </row>
    <row r="13" customFormat="false" ht="13.5" hidden="false" customHeight="false" outlineLevel="0" collapsed="false">
      <c r="A13" s="14" t="s">
        <v>87</v>
      </c>
      <c r="B13" s="14" t="s">
        <v>76</v>
      </c>
      <c r="C13" s="0" t="n">
        <v>560</v>
      </c>
      <c r="D13" s="0" t="n">
        <v>55</v>
      </c>
      <c r="E13" s="0" t="n">
        <v>93</v>
      </c>
      <c r="F13" s="0" t="n">
        <v>66</v>
      </c>
      <c r="G13" s="11" t="str">
        <f aca="false">IFERROR(INDEX(Governorates!$B$4:$B$60,MATCH($A13,Governorates!$A$4:$A$60,0)),"")</f>
        <v>تعز</v>
      </c>
      <c r="H13" s="11" t="str">
        <f aca="false">IFERROR(INDEX(Sectors!$B$4:$B$60,MATCH($B13,Sectors!$A$4:$A$60,0)),"")</f>
        <v>التغيير الاجتماعي والسلوكي</v>
      </c>
      <c r="I13" s="9" t="n">
        <f aca="false">IF(C13&gt;0,D13/C13,0)</f>
        <v>0.0982142857142857</v>
      </c>
    </row>
    <row r="14" customFormat="false" ht="13.5" hidden="false" customHeight="false" outlineLevel="0" collapsed="false">
      <c r="A14" s="14" t="s">
        <v>90</v>
      </c>
      <c r="B14" s="14" t="s">
        <v>60</v>
      </c>
      <c r="C14" s="0" t="n">
        <v>550</v>
      </c>
      <c r="D14" s="0" t="n">
        <v>56</v>
      </c>
      <c r="E14" s="0" t="n">
        <v>92</v>
      </c>
      <c r="F14" s="0" t="n">
        <v>20</v>
      </c>
      <c r="G14" s="11" t="str">
        <f aca="false">IFERROR(INDEX(Governorates!$B$4:$B$60,MATCH($A14,Governorates!$A$4:$A$60,0)),"")</f>
        <v>الضالع</v>
      </c>
      <c r="H14" s="11" t="str">
        <f aca="false">IFERROR(INDEX(Sectors!$B$4:$B$60,MATCH($B14,Sectors!$A$4:$A$60,0)),"")</f>
        <v>التعليم</v>
      </c>
      <c r="I14" s="9" t="n">
        <f aca="false">IF(C14&gt;0,D14/C14,0)</f>
        <v>0.101818181818182</v>
      </c>
    </row>
    <row r="15" customFormat="false" ht="13.5" hidden="false" customHeight="false" outlineLevel="0" collapsed="false">
      <c r="A15" s="14" t="s">
        <v>90</v>
      </c>
      <c r="B15" s="14" t="s">
        <v>64</v>
      </c>
      <c r="C15" s="0" t="n">
        <v>550</v>
      </c>
      <c r="D15" s="0" t="n">
        <v>661</v>
      </c>
      <c r="E15" s="0" t="n">
        <v>92</v>
      </c>
      <c r="F15" s="0" t="n">
        <v>30</v>
      </c>
      <c r="G15" s="11" t="str">
        <f aca="false">IFERROR(INDEX(Governorates!$B$4:$B$60,MATCH($A15,Governorates!$A$4:$A$60,0)),"")</f>
        <v>الضالع</v>
      </c>
      <c r="H15" s="11" t="str">
        <f aca="false">IFERROR(INDEX(Sectors!$B$4:$B$60,MATCH($B15,Sectors!$A$4:$A$60,0)),"")</f>
        <v>حماية الطفل</v>
      </c>
      <c r="I15" s="9" t="n">
        <f aca="false">IF(C15&gt;0,D15/C15,0)</f>
        <v>1.20181818181818</v>
      </c>
    </row>
    <row r="16" customFormat="false" ht="13.5" hidden="false" customHeight="false" outlineLevel="0" collapsed="false">
      <c r="A16" s="14" t="s">
        <v>90</v>
      </c>
      <c r="B16" s="14" t="s">
        <v>68</v>
      </c>
      <c r="C16" s="0" t="n">
        <v>550</v>
      </c>
      <c r="D16" s="0" t="n">
        <v>103</v>
      </c>
      <c r="E16" s="0" t="n">
        <v>92</v>
      </c>
      <c r="F16" s="0" t="n">
        <v>55</v>
      </c>
      <c r="G16" s="11" t="str">
        <f aca="false">IFERROR(INDEX(Governorates!$B$4:$B$60,MATCH($A16,Governorates!$A$4:$A$60,0)),"")</f>
        <v>الضالع</v>
      </c>
      <c r="H16" s="11" t="str">
        <f aca="false">IFERROR(INDEX(Sectors!$B$4:$B$60,MATCH($B16,Sectors!$A$4:$A$60,0)),"")</f>
        <v>المياه</v>
      </c>
      <c r="I16" s="9" t="n">
        <f aca="false">IF(C16&gt;0,D16/C16,0)</f>
        <v>0.187272727272727</v>
      </c>
    </row>
    <row r="17" customFormat="false" ht="13.5" hidden="false" customHeight="false" outlineLevel="0" collapsed="false">
      <c r="A17" s="14" t="s">
        <v>90</v>
      </c>
      <c r="B17" s="14" t="s">
        <v>72</v>
      </c>
      <c r="C17" s="0" t="n">
        <v>550</v>
      </c>
      <c r="D17" s="0" t="n">
        <v>3</v>
      </c>
      <c r="E17" s="0" t="n">
        <v>92</v>
      </c>
      <c r="F17" s="0" t="n">
        <v>66</v>
      </c>
      <c r="G17" s="11" t="str">
        <f aca="false">IFERROR(INDEX(Governorates!$B$4:$B$60,MATCH($A17,Governorates!$A$4:$A$60,0)),"")</f>
        <v>الضالع</v>
      </c>
      <c r="H17" s="11" t="str">
        <f aca="false">IFERROR(INDEX(Sectors!$B$4:$B$60,MATCH($B17,Sectors!$A$4:$A$60,0)),"")</f>
        <v>الإصحاح والنظافة</v>
      </c>
      <c r="I17" s="9" t="n">
        <f aca="false">IF(C17&gt;0,D17/C17,0)</f>
        <v>0.00545454545454546</v>
      </c>
    </row>
    <row r="18" customFormat="false" ht="13.5" hidden="false" customHeight="false" outlineLevel="0" collapsed="false">
      <c r="A18" s="14" t="s">
        <v>90</v>
      </c>
      <c r="B18" s="14" t="s">
        <v>76</v>
      </c>
      <c r="C18" s="0" t="n">
        <v>550</v>
      </c>
      <c r="D18" s="0" t="n">
        <v>311</v>
      </c>
      <c r="E18" s="0" t="n">
        <v>92</v>
      </c>
      <c r="F18" s="0" t="n">
        <v>48</v>
      </c>
      <c r="G18" s="11" t="str">
        <f aca="false">IFERROR(INDEX(Governorates!$B$4:$B$60,MATCH($A18,Governorates!$A$4:$A$60,0)),"")</f>
        <v>الضالع</v>
      </c>
      <c r="H18" s="11" t="str">
        <f aca="false">IFERROR(INDEX(Sectors!$B$4:$B$60,MATCH($B18,Sectors!$A$4:$A$60,0)),"")</f>
        <v>التغيير الاجتماعي والسلوكي</v>
      </c>
      <c r="I18" s="9" t="n">
        <f aca="false">IF(C18&gt;0,D18/C18,0)</f>
        <v>0.565454545454545</v>
      </c>
    </row>
    <row r="19" customFormat="false" ht="13.5" hidden="false" customHeight="false" outlineLevel="0" collapsed="false">
      <c r="A19" s="14" t="s">
        <v>93</v>
      </c>
      <c r="B19" s="14" t="s">
        <v>60</v>
      </c>
      <c r="C19" s="0" t="n">
        <v>620</v>
      </c>
      <c r="D19" s="0" t="n">
        <v>56</v>
      </c>
      <c r="E19" s="0" t="n">
        <v>103</v>
      </c>
      <c r="F19" s="0" t="n">
        <v>65</v>
      </c>
      <c r="G19" s="11" t="str">
        <f aca="false">IFERROR(INDEX(Governorates!$B$4:$B$60,MATCH($A19,Governorates!$A$4:$A$60,0)),"")</f>
        <v>الحديدة</v>
      </c>
      <c r="H19" s="11" t="str">
        <f aca="false">IFERROR(INDEX(Sectors!$B$4:$B$60,MATCH($B19,Sectors!$A$4:$A$60,0)),"")</f>
        <v>التعليم</v>
      </c>
      <c r="I19" s="9" t="n">
        <f aca="false">IF(C19&gt;0,D19/C19,0)</f>
        <v>0.0903225806451613</v>
      </c>
    </row>
    <row r="20" customFormat="false" ht="13.5" hidden="false" customHeight="false" outlineLevel="0" collapsed="false">
      <c r="A20" s="14" t="s">
        <v>93</v>
      </c>
      <c r="B20" s="14" t="s">
        <v>64</v>
      </c>
      <c r="C20" s="0" t="n">
        <v>620</v>
      </c>
      <c r="D20" s="0" t="n">
        <v>65</v>
      </c>
      <c r="E20" s="0" t="n">
        <v>103</v>
      </c>
      <c r="F20" s="0" t="n">
        <v>88</v>
      </c>
      <c r="G20" s="11" t="str">
        <f aca="false">IFERROR(INDEX(Governorates!$B$4:$B$60,MATCH($A20,Governorates!$A$4:$A$60,0)),"")</f>
        <v>الحديدة</v>
      </c>
      <c r="H20" s="11" t="str">
        <f aca="false">IFERROR(INDEX(Sectors!$B$4:$B$60,MATCH($B20,Sectors!$A$4:$A$60,0)),"")</f>
        <v>حماية الطفل</v>
      </c>
      <c r="I20" s="9" t="n">
        <f aca="false">IF(C20&gt;0,D20/C20,0)</f>
        <v>0.104838709677419</v>
      </c>
    </row>
    <row r="21" customFormat="false" ht="13.5" hidden="false" customHeight="false" outlineLevel="0" collapsed="false">
      <c r="A21" s="14" t="s">
        <v>93</v>
      </c>
      <c r="B21" s="14" t="s">
        <v>68</v>
      </c>
      <c r="C21" s="0" t="n">
        <v>620</v>
      </c>
      <c r="D21" s="0" t="n">
        <v>656</v>
      </c>
      <c r="E21" s="0" t="n">
        <v>103</v>
      </c>
      <c r="F21" s="0" t="n">
        <v>94</v>
      </c>
      <c r="G21" s="11" t="str">
        <f aca="false">IFERROR(INDEX(Governorates!$B$4:$B$60,MATCH($A21,Governorates!$A$4:$A$60,0)),"")</f>
        <v>الحديدة</v>
      </c>
      <c r="H21" s="11" t="str">
        <f aca="false">IFERROR(INDEX(Sectors!$B$4:$B$60,MATCH($B21,Sectors!$A$4:$A$60,0)),"")</f>
        <v>المياه</v>
      </c>
      <c r="I21" s="9" t="n">
        <f aca="false">IF(C21&gt;0,D21/C21,0)</f>
        <v>1.05806451612903</v>
      </c>
    </row>
    <row r="22" customFormat="false" ht="13.5" hidden="false" customHeight="false" outlineLevel="0" collapsed="false">
      <c r="A22" s="14" t="s">
        <v>93</v>
      </c>
      <c r="B22" s="14" t="s">
        <v>72</v>
      </c>
      <c r="C22" s="0" t="n">
        <v>620</v>
      </c>
      <c r="D22" s="0" t="n">
        <v>6</v>
      </c>
      <c r="E22" s="0" t="n">
        <v>103</v>
      </c>
      <c r="F22" s="0" t="n">
        <v>59</v>
      </c>
      <c r="G22" s="11" t="str">
        <f aca="false">IFERROR(INDEX(Governorates!$B$4:$B$60,MATCH($A22,Governorates!$A$4:$A$60,0)),"")</f>
        <v>الحديدة</v>
      </c>
      <c r="H22" s="11" t="str">
        <f aca="false">IFERROR(INDEX(Sectors!$B$4:$B$60,MATCH($B22,Sectors!$A$4:$A$60,0)),"")</f>
        <v>الإصحاح والنظافة</v>
      </c>
      <c r="I22" s="9" t="n">
        <f aca="false">IF(C22&gt;0,D22/C22,0)</f>
        <v>0.00967741935483871</v>
      </c>
    </row>
    <row r="23" customFormat="false" ht="13.5" hidden="false" customHeight="false" outlineLevel="0" collapsed="false">
      <c r="A23" s="14" t="s">
        <v>93</v>
      </c>
      <c r="B23" s="14" t="s">
        <v>76</v>
      </c>
      <c r="C23" s="0" t="n">
        <v>620</v>
      </c>
      <c r="D23" s="0" t="n">
        <v>6</v>
      </c>
      <c r="E23" s="0" t="n">
        <v>103</v>
      </c>
      <c r="F23" s="0" t="n">
        <v>98</v>
      </c>
      <c r="G23" s="11" t="str">
        <f aca="false">IFERROR(INDEX(Governorates!$B$4:$B$60,MATCH($A23,Governorates!$A$4:$A$60,0)),"")</f>
        <v>الحديدة</v>
      </c>
      <c r="H23" s="11" t="str">
        <f aca="false">IFERROR(INDEX(Sectors!$B$4:$B$60,MATCH($B23,Sectors!$A$4:$A$60,0)),"")</f>
        <v>التغيير الاجتماعي والسلوكي</v>
      </c>
      <c r="I23" s="9" t="n">
        <f aca="false">IF(C23&gt;0,D23/C23,0)</f>
        <v>0.00967741935483871</v>
      </c>
    </row>
    <row r="24" customFormat="false" ht="13.5" hidden="false" customHeight="false" outlineLevel="0" collapsed="false">
      <c r="A24" s="14" t="s">
        <v>96</v>
      </c>
      <c r="B24" s="14" t="s">
        <v>60</v>
      </c>
      <c r="C24" s="0" t="n">
        <v>550</v>
      </c>
      <c r="D24" s="0" t="n">
        <v>0</v>
      </c>
      <c r="E24" s="0" t="n">
        <v>92</v>
      </c>
      <c r="F24" s="0" t="n">
        <v>0</v>
      </c>
      <c r="G24" s="11" t="str">
        <f aca="false">IFERROR(INDEX(Governorates!$B$4:$B$60,MATCH($A24,Governorates!$A$4:$A$60,0)),"")</f>
        <v>شبوة</v>
      </c>
      <c r="H24" s="11" t="str">
        <f aca="false">IFERROR(INDEX(Sectors!$B$4:$B$60,MATCH($B24,Sectors!$A$4:$A$60,0)),"")</f>
        <v>التعليم</v>
      </c>
      <c r="I24" s="9" t="n">
        <f aca="false">IF(C24&gt;0,D24/C24,0)</f>
        <v>0</v>
      </c>
    </row>
    <row r="25" customFormat="false" ht="13.5" hidden="false" customHeight="false" outlineLevel="0" collapsed="false">
      <c r="A25" s="14" t="s">
        <v>96</v>
      </c>
      <c r="B25" s="14" t="s">
        <v>64</v>
      </c>
      <c r="C25" s="0" t="n">
        <v>550</v>
      </c>
      <c r="D25" s="0" t="n">
        <v>0</v>
      </c>
      <c r="E25" s="0" t="n">
        <v>92</v>
      </c>
      <c r="F25" s="0" t="n">
        <v>0</v>
      </c>
      <c r="G25" s="11" t="str">
        <f aca="false">IFERROR(INDEX(Governorates!$B$4:$B$60,MATCH($A25,Governorates!$A$4:$A$60,0)),"")</f>
        <v>شبوة</v>
      </c>
      <c r="H25" s="11" t="str">
        <f aca="false">IFERROR(INDEX(Sectors!$B$4:$B$60,MATCH($B25,Sectors!$A$4:$A$60,0)),"")</f>
        <v>حماية الطفل</v>
      </c>
      <c r="I25" s="9" t="n">
        <f aca="false">IF(C25&gt;0,D25/C25,0)</f>
        <v>0</v>
      </c>
    </row>
    <row r="26" customFormat="false" ht="13.5" hidden="false" customHeight="false" outlineLevel="0" collapsed="false">
      <c r="A26" s="14" t="s">
        <v>96</v>
      </c>
      <c r="B26" s="14" t="s">
        <v>68</v>
      </c>
      <c r="C26" s="0" t="n">
        <v>550</v>
      </c>
      <c r="D26" s="0" t="n">
        <v>0</v>
      </c>
      <c r="E26" s="0" t="n">
        <v>92</v>
      </c>
      <c r="F26" s="0" t="n">
        <v>0</v>
      </c>
      <c r="G26" s="11" t="str">
        <f aca="false">IFERROR(INDEX(Governorates!$B$4:$B$60,MATCH($A26,Governorates!$A$4:$A$60,0)),"")</f>
        <v>شبوة</v>
      </c>
      <c r="H26" s="11" t="str">
        <f aca="false">IFERROR(INDEX(Sectors!$B$4:$B$60,MATCH($B26,Sectors!$A$4:$A$60,0)),"")</f>
        <v>المياه</v>
      </c>
      <c r="I26" s="9" t="n">
        <f aca="false">IF(C26&gt;0,D26/C26,0)</f>
        <v>0</v>
      </c>
    </row>
    <row r="27" customFormat="false" ht="13.5" hidden="false" customHeight="false" outlineLevel="0" collapsed="false">
      <c r="A27" s="14" t="s">
        <v>96</v>
      </c>
      <c r="B27" s="14" t="s">
        <v>72</v>
      </c>
      <c r="C27" s="0" t="n">
        <v>550</v>
      </c>
      <c r="D27" s="0" t="n">
        <v>0</v>
      </c>
      <c r="E27" s="0" t="n">
        <v>92</v>
      </c>
      <c r="F27" s="0" t="n">
        <v>0</v>
      </c>
      <c r="G27" s="11" t="str">
        <f aca="false">IFERROR(INDEX(Governorates!$B$4:$B$60,MATCH($A27,Governorates!$A$4:$A$60,0)),"")</f>
        <v>شبوة</v>
      </c>
      <c r="H27" s="11" t="str">
        <f aca="false">IFERROR(INDEX(Sectors!$B$4:$B$60,MATCH($B27,Sectors!$A$4:$A$60,0)),"")</f>
        <v>الإصحاح والنظافة</v>
      </c>
      <c r="I27" s="9" t="n">
        <f aca="false">IF(C27&gt;0,D27/C27,0)</f>
        <v>0</v>
      </c>
    </row>
    <row r="28" customFormat="false" ht="13.5" hidden="false" customHeight="false" outlineLevel="0" collapsed="false">
      <c r="A28" s="14" t="s">
        <v>96</v>
      </c>
      <c r="B28" s="14" t="s">
        <v>76</v>
      </c>
      <c r="C28" s="0" t="n">
        <v>550</v>
      </c>
      <c r="D28" s="0" t="n">
        <v>0</v>
      </c>
      <c r="E28" s="0" t="n">
        <v>92</v>
      </c>
      <c r="F28" s="0" t="n">
        <v>0</v>
      </c>
      <c r="G28" s="11" t="str">
        <f aca="false">IFERROR(INDEX(Governorates!$B$4:$B$60,MATCH($A28,Governorates!$A$4:$A$60,0)),"")</f>
        <v>شبوة</v>
      </c>
      <c r="H28" s="11" t="str">
        <f aca="false">IFERROR(INDEX(Sectors!$B$4:$B$60,MATCH($B28,Sectors!$A$4:$A$60,0)),"")</f>
        <v>التغيير الاجتماعي والسلوكي</v>
      </c>
      <c r="I28" s="9" t="n">
        <f aca="false">IF(C28&gt;0,D28/C28,0)</f>
        <v>0</v>
      </c>
    </row>
    <row r="29" customFormat="false" ht="13.5" hidden="false" customHeight="false" outlineLevel="0" collapsed="false">
      <c r="A29" s="14" t="s">
        <v>99</v>
      </c>
      <c r="B29" s="14" t="s">
        <v>60</v>
      </c>
      <c r="C29" s="0" t="n">
        <v>560</v>
      </c>
      <c r="D29" s="0" t="n">
        <v>0</v>
      </c>
      <c r="E29" s="0" t="n">
        <v>93</v>
      </c>
      <c r="F29" s="0" t="n">
        <v>0</v>
      </c>
      <c r="G29" s="11" t="str">
        <f aca="false">IFERROR(INDEX(Governorates!$B$4:$B$60,MATCH($A29,Governorates!$A$4:$A$60,0)),"")</f>
        <v>عدن</v>
      </c>
      <c r="H29" s="11" t="str">
        <f aca="false">IFERROR(INDEX(Sectors!$B$4:$B$60,MATCH($B29,Sectors!$A$4:$A$60,0)),"")</f>
        <v>التعليم</v>
      </c>
      <c r="I29" s="9" t="n">
        <f aca="false">IF(C29&gt;0,D29/C29,0)</f>
        <v>0</v>
      </c>
    </row>
    <row r="30" customFormat="false" ht="13.5" hidden="false" customHeight="false" outlineLevel="0" collapsed="false">
      <c r="A30" s="14" t="s">
        <v>99</v>
      </c>
      <c r="B30" s="14" t="s">
        <v>64</v>
      </c>
      <c r="C30" s="0" t="n">
        <v>560</v>
      </c>
      <c r="D30" s="0" t="n">
        <v>0</v>
      </c>
      <c r="E30" s="0" t="n">
        <v>93</v>
      </c>
      <c r="F30" s="0" t="n">
        <v>0</v>
      </c>
      <c r="G30" s="11" t="str">
        <f aca="false">IFERROR(INDEX(Governorates!$B$4:$B$60,MATCH($A30,Governorates!$A$4:$A$60,0)),"")</f>
        <v>عدن</v>
      </c>
      <c r="H30" s="11" t="str">
        <f aca="false">IFERROR(INDEX(Sectors!$B$4:$B$60,MATCH($B30,Sectors!$A$4:$A$60,0)),"")</f>
        <v>حماية الطفل</v>
      </c>
      <c r="I30" s="9" t="n">
        <f aca="false">IF(C30&gt;0,D30/C30,0)</f>
        <v>0</v>
      </c>
    </row>
    <row r="31" customFormat="false" ht="13.5" hidden="false" customHeight="false" outlineLevel="0" collapsed="false">
      <c r="A31" s="14" t="s">
        <v>99</v>
      </c>
      <c r="B31" s="14" t="s">
        <v>68</v>
      </c>
      <c r="C31" s="0" t="n">
        <v>560</v>
      </c>
      <c r="D31" s="0" t="n">
        <v>0</v>
      </c>
      <c r="E31" s="0" t="n">
        <v>93</v>
      </c>
      <c r="F31" s="0" t="n">
        <v>0</v>
      </c>
      <c r="G31" s="11" t="str">
        <f aca="false">IFERROR(INDEX(Governorates!$B$4:$B$60,MATCH($A31,Governorates!$A$4:$A$60,0)),"")</f>
        <v>عدن</v>
      </c>
      <c r="H31" s="11" t="str">
        <f aca="false">IFERROR(INDEX(Sectors!$B$4:$B$60,MATCH($B31,Sectors!$A$4:$A$60,0)),"")</f>
        <v>المياه</v>
      </c>
      <c r="I31" s="9" t="n">
        <f aca="false">IF(C31&gt;0,D31/C31,0)</f>
        <v>0</v>
      </c>
    </row>
    <row r="32" customFormat="false" ht="13.5" hidden="false" customHeight="false" outlineLevel="0" collapsed="false">
      <c r="A32" s="14" t="s">
        <v>99</v>
      </c>
      <c r="B32" s="14" t="s">
        <v>72</v>
      </c>
      <c r="C32" s="0" t="n">
        <v>560</v>
      </c>
      <c r="D32" s="0" t="n">
        <v>0</v>
      </c>
      <c r="E32" s="0" t="n">
        <v>93</v>
      </c>
      <c r="F32" s="0" t="n">
        <v>0</v>
      </c>
      <c r="G32" s="11" t="str">
        <f aca="false">IFERROR(INDEX(Governorates!$B$4:$B$60,MATCH($A32,Governorates!$A$4:$A$60,0)),"")</f>
        <v>عدن</v>
      </c>
      <c r="H32" s="11" t="str">
        <f aca="false">IFERROR(INDEX(Sectors!$B$4:$B$60,MATCH($B32,Sectors!$A$4:$A$60,0)),"")</f>
        <v>الإصحاح والنظافة</v>
      </c>
      <c r="I32" s="9" t="n">
        <f aca="false">IF(C32&gt;0,D32/C32,0)</f>
        <v>0</v>
      </c>
    </row>
    <row r="33" customFormat="false" ht="13.5" hidden="false" customHeight="false" outlineLevel="0" collapsed="false">
      <c r="A33" s="14" t="s">
        <v>99</v>
      </c>
      <c r="B33" s="14" t="s">
        <v>76</v>
      </c>
      <c r="C33" s="0" t="n">
        <v>560</v>
      </c>
      <c r="D33" s="0" t="n">
        <v>0</v>
      </c>
      <c r="E33" s="0" t="n">
        <v>93</v>
      </c>
      <c r="F33" s="0" t="n">
        <v>0</v>
      </c>
      <c r="G33" s="11" t="str">
        <f aca="false">IFERROR(INDEX(Governorates!$B$4:$B$60,MATCH($A33,Governorates!$A$4:$A$60,0)),"")</f>
        <v>عدن</v>
      </c>
      <c r="H33" s="11" t="str">
        <f aca="false">IFERROR(INDEX(Sectors!$B$4:$B$60,MATCH($B33,Sectors!$A$4:$A$60,0)),"")</f>
        <v>التغيير الاجتماعي والسلوكي</v>
      </c>
      <c r="I33" s="9" t="n">
        <f aca="false">IF(C33&gt;0,D33/C33,0)</f>
        <v>0</v>
      </c>
    </row>
    <row r="34" customFormat="false" ht="13.5" hidden="false" customHeight="false" outlineLevel="0" collapsed="false">
      <c r="A34" s="14" t="s">
        <v>102</v>
      </c>
      <c r="B34" s="14" t="s">
        <v>60</v>
      </c>
      <c r="C34" s="0" t="n">
        <v>500</v>
      </c>
      <c r="D34" s="0" t="n">
        <v>0</v>
      </c>
      <c r="E34" s="0" t="n">
        <v>83</v>
      </c>
      <c r="F34" s="0" t="n">
        <v>0</v>
      </c>
      <c r="G34" s="11" t="str">
        <f aca="false">IFERROR(INDEX(Governorates!$B$4:$B$60,MATCH($A34,Governorates!$A$4:$A$60,0)),"")</f>
        <v>لحج</v>
      </c>
      <c r="H34" s="11" t="str">
        <f aca="false">IFERROR(INDEX(Sectors!$B$4:$B$60,MATCH($B34,Sectors!$A$4:$A$60,0)),"")</f>
        <v>التعليم</v>
      </c>
      <c r="I34" s="9" t="n">
        <f aca="false">IF(C34&gt;0,D34/C34,0)</f>
        <v>0</v>
      </c>
    </row>
    <row r="35" customFormat="false" ht="13.5" hidden="false" customHeight="false" outlineLevel="0" collapsed="false">
      <c r="A35" s="14" t="s">
        <v>102</v>
      </c>
      <c r="B35" s="14" t="s">
        <v>64</v>
      </c>
      <c r="C35" s="0" t="n">
        <v>500</v>
      </c>
      <c r="D35" s="0" t="n">
        <v>0</v>
      </c>
      <c r="E35" s="0" t="n">
        <v>83</v>
      </c>
      <c r="F35" s="0" t="n">
        <v>0</v>
      </c>
      <c r="G35" s="11" t="str">
        <f aca="false">IFERROR(INDEX(Governorates!$B$4:$B$60,MATCH($A35,Governorates!$A$4:$A$60,0)),"")</f>
        <v>لحج</v>
      </c>
      <c r="H35" s="11" t="str">
        <f aca="false">IFERROR(INDEX(Sectors!$B$4:$B$60,MATCH($B35,Sectors!$A$4:$A$60,0)),"")</f>
        <v>حماية الطفل</v>
      </c>
      <c r="I35" s="9" t="n">
        <f aca="false">IF(C35&gt;0,D35/C35,0)</f>
        <v>0</v>
      </c>
    </row>
    <row r="36" customFormat="false" ht="13.5" hidden="false" customHeight="false" outlineLevel="0" collapsed="false">
      <c r="A36" s="14" t="s">
        <v>102</v>
      </c>
      <c r="B36" s="14" t="s">
        <v>68</v>
      </c>
      <c r="C36" s="0" t="n">
        <v>500</v>
      </c>
      <c r="D36" s="0" t="n">
        <v>0</v>
      </c>
      <c r="E36" s="0" t="n">
        <v>83</v>
      </c>
      <c r="F36" s="0" t="n">
        <v>0</v>
      </c>
      <c r="G36" s="11" t="str">
        <f aca="false">IFERROR(INDEX(Governorates!$B$4:$B$60,MATCH($A36,Governorates!$A$4:$A$60,0)),"")</f>
        <v>لحج</v>
      </c>
      <c r="H36" s="11" t="str">
        <f aca="false">IFERROR(INDEX(Sectors!$B$4:$B$60,MATCH($B36,Sectors!$A$4:$A$60,0)),"")</f>
        <v>المياه</v>
      </c>
      <c r="I36" s="9" t="n">
        <f aca="false">IF(C36&gt;0,D36/C36,0)</f>
        <v>0</v>
      </c>
    </row>
    <row r="37" customFormat="false" ht="13.5" hidden="false" customHeight="false" outlineLevel="0" collapsed="false">
      <c r="A37" s="14" t="s">
        <v>102</v>
      </c>
      <c r="B37" s="14" t="s">
        <v>72</v>
      </c>
      <c r="C37" s="0" t="n">
        <v>500</v>
      </c>
      <c r="D37" s="0" t="n">
        <v>0</v>
      </c>
      <c r="E37" s="0" t="n">
        <v>83</v>
      </c>
      <c r="F37" s="0" t="n">
        <v>0</v>
      </c>
      <c r="G37" s="11" t="str">
        <f aca="false">IFERROR(INDEX(Governorates!$B$4:$B$60,MATCH($A37,Governorates!$A$4:$A$60,0)),"")</f>
        <v>لحج</v>
      </c>
      <c r="H37" s="11" t="str">
        <f aca="false">IFERROR(INDEX(Sectors!$B$4:$B$60,MATCH($B37,Sectors!$A$4:$A$60,0)),"")</f>
        <v>الإصحاح والنظافة</v>
      </c>
      <c r="I37" s="9" t="n">
        <f aca="false">IF(C37&gt;0,D37/C37,0)</f>
        <v>0</v>
      </c>
    </row>
    <row r="38" customFormat="false" ht="13.5" hidden="false" customHeight="false" outlineLevel="0" collapsed="false">
      <c r="A38" s="14" t="s">
        <v>102</v>
      </c>
      <c r="B38" s="14" t="s">
        <v>76</v>
      </c>
      <c r="C38" s="0" t="n">
        <v>500</v>
      </c>
      <c r="D38" s="0" t="n">
        <v>0</v>
      </c>
      <c r="E38" s="0" t="n">
        <v>83</v>
      </c>
      <c r="F38" s="0" t="n">
        <v>0</v>
      </c>
      <c r="G38" s="11" t="str">
        <f aca="false">IFERROR(INDEX(Governorates!$B$4:$B$60,MATCH($A38,Governorates!$A$4:$A$60,0)),"")</f>
        <v>لحج</v>
      </c>
      <c r="H38" s="11" t="str">
        <f aca="false">IFERROR(INDEX(Sectors!$B$4:$B$60,MATCH($B38,Sectors!$A$4:$A$60,0)),"")</f>
        <v>التغيير الاجتماعي والسلوكي</v>
      </c>
      <c r="I38" s="9" t="n">
        <f aca="false">IF(C38&gt;0,D38/C38,0)</f>
        <v>0</v>
      </c>
    </row>
    <row r="39" customFormat="false" ht="13.5" hidden="false" customHeight="false" outlineLevel="0" collapsed="false">
      <c r="A39" s="14"/>
      <c r="B39" s="14"/>
    </row>
    <row r="40" customFormat="false" ht="13.5" hidden="false" customHeight="false" outlineLevel="0" collapsed="false">
      <c r="A40" s="14"/>
      <c r="B40" s="14"/>
    </row>
    <row r="41" customFormat="false" ht="13.5" hidden="false" customHeight="false" outlineLevel="0" collapsed="false">
      <c r="A41" s="14"/>
      <c r="B41" s="14"/>
    </row>
    <row r="42" customFormat="false" ht="13.5" hidden="false" customHeight="false" outlineLevel="0" collapsed="false">
      <c r="A42" s="14"/>
      <c r="B42" s="14"/>
    </row>
    <row r="43" customFormat="false" ht="13.5" hidden="false" customHeight="false" outlineLevel="0" collapsed="false">
      <c r="A43" s="14"/>
      <c r="B43" s="14"/>
    </row>
    <row r="44" customFormat="false" ht="13.5" hidden="false" customHeight="false" outlineLevel="0" collapsed="false">
      <c r="A44" s="14"/>
      <c r="B44" s="14"/>
    </row>
    <row r="45" customFormat="false" ht="13.5" hidden="false" customHeight="false" outlineLevel="0" collapsed="false">
      <c r="A45" s="14"/>
      <c r="B45" s="14"/>
    </row>
    <row r="46" customFormat="false" ht="13.5" hidden="false" customHeight="false" outlineLevel="0" collapsed="false">
      <c r="A46" s="14"/>
      <c r="B46" s="14"/>
    </row>
    <row r="47" customFormat="false" ht="13.5" hidden="false" customHeight="false" outlineLevel="0" collapsed="false">
      <c r="A47" s="14"/>
      <c r="B47" s="14"/>
    </row>
    <row r="48" customFormat="false" ht="13.5" hidden="false" customHeight="false" outlineLevel="0" collapsed="false">
      <c r="A48" s="14"/>
      <c r="B48" s="14"/>
    </row>
    <row r="49" customFormat="false" ht="13.5" hidden="false" customHeight="false" outlineLevel="0" collapsed="false">
      <c r="A49" s="14"/>
      <c r="B49" s="14"/>
    </row>
    <row r="50" customFormat="false" ht="13.5" hidden="false" customHeight="false" outlineLevel="0" collapsed="false">
      <c r="A50" s="14"/>
      <c r="B50" s="14"/>
    </row>
    <row r="51" customFormat="false" ht="13.5" hidden="false" customHeight="false" outlineLevel="0" collapsed="false">
      <c r="A51" s="14"/>
      <c r="B51" s="14"/>
    </row>
    <row r="52" customFormat="false" ht="13.5" hidden="false" customHeight="false" outlineLevel="0" collapsed="false">
      <c r="A52" s="14"/>
      <c r="B52" s="14"/>
    </row>
    <row r="53" customFormat="false" ht="13.5" hidden="false" customHeight="false" outlineLevel="0" collapsed="false">
      <c r="A53" s="14"/>
      <c r="B53" s="14"/>
    </row>
    <row r="54" customFormat="false" ht="13.5" hidden="false" customHeight="false" outlineLevel="0" collapsed="false">
      <c r="A54" s="14"/>
      <c r="B54" s="14"/>
    </row>
    <row r="55" customFormat="false" ht="13.5" hidden="false" customHeight="false" outlineLevel="0" collapsed="false">
      <c r="A55" s="14"/>
      <c r="B55" s="14"/>
    </row>
    <row r="56" customFormat="false" ht="13.5" hidden="false" customHeight="false" outlineLevel="0" collapsed="false">
      <c r="A56" s="14"/>
      <c r="B56" s="14"/>
    </row>
    <row r="57" customFormat="false" ht="13.5" hidden="false" customHeight="false" outlineLevel="0" collapsed="false">
      <c r="A57" s="14"/>
      <c r="B57" s="14"/>
    </row>
    <row r="58" customFormat="false" ht="13.5" hidden="false" customHeight="false" outlineLevel="0" collapsed="false">
      <c r="A58" s="14"/>
      <c r="B58" s="14"/>
    </row>
    <row r="59" customFormat="false" ht="13.5" hidden="false" customHeight="false" outlineLevel="0" collapsed="false">
      <c r="A59" s="14"/>
      <c r="B59" s="14"/>
    </row>
    <row r="60" customFormat="false" ht="13.5" hidden="false" customHeight="false" outlineLevel="0" collapsed="false">
      <c r="A60" s="14"/>
      <c r="B60" s="14"/>
    </row>
    <row r="61" customFormat="false" ht="13.5" hidden="false" customHeight="false" outlineLevel="0" collapsed="false">
      <c r="A61" s="14"/>
      <c r="B61" s="14"/>
    </row>
    <row r="62" customFormat="false" ht="13.5" hidden="false" customHeight="false" outlineLevel="0" collapsed="false">
      <c r="A62" s="14"/>
      <c r="B62" s="14"/>
    </row>
    <row r="63" customFormat="false" ht="13.5" hidden="false" customHeight="false" outlineLevel="0" collapsed="false">
      <c r="A63" s="14"/>
      <c r="B63" s="14"/>
    </row>
    <row r="64" customFormat="false" ht="13.5" hidden="false" customHeight="false" outlineLevel="0" collapsed="false">
      <c r="A64" s="14"/>
      <c r="B64" s="14"/>
    </row>
    <row r="65" customFormat="false" ht="13.5" hidden="false" customHeight="false" outlineLevel="0" collapsed="false">
      <c r="A65" s="14"/>
      <c r="B65" s="14"/>
    </row>
    <row r="66" customFormat="false" ht="13.5" hidden="false" customHeight="false" outlineLevel="0" collapsed="false">
      <c r="A66" s="14"/>
      <c r="B66" s="14"/>
    </row>
    <row r="67" customFormat="false" ht="13.5" hidden="false" customHeight="false" outlineLevel="0" collapsed="false">
      <c r="A67" s="14"/>
      <c r="B67" s="14"/>
    </row>
    <row r="68" customFormat="false" ht="13.5" hidden="false" customHeight="false" outlineLevel="0" collapsed="false">
      <c r="A68" s="14"/>
      <c r="B68" s="14"/>
    </row>
    <row r="69" customFormat="false" ht="13.5" hidden="false" customHeight="false" outlineLevel="0" collapsed="false">
      <c r="A69" s="14"/>
      <c r="B69" s="14"/>
    </row>
    <row r="70" customFormat="false" ht="13.5" hidden="false" customHeight="false" outlineLevel="0" collapsed="false">
      <c r="A70" s="14"/>
      <c r="B70" s="14"/>
    </row>
    <row r="71" customFormat="false" ht="13.5" hidden="false" customHeight="false" outlineLevel="0" collapsed="false">
      <c r="A71" s="14"/>
      <c r="B71" s="14"/>
    </row>
    <row r="72" customFormat="false" ht="13.5" hidden="false" customHeight="false" outlineLevel="0" collapsed="false">
      <c r="A72" s="14"/>
      <c r="B72" s="14"/>
    </row>
    <row r="73" customFormat="false" ht="13.5" hidden="false" customHeight="false" outlineLevel="0" collapsed="false">
      <c r="A73" s="14"/>
      <c r="B73" s="14"/>
    </row>
    <row r="74" customFormat="false" ht="13.5" hidden="false" customHeight="false" outlineLevel="0" collapsed="false">
      <c r="A74" s="14"/>
      <c r="B74" s="14"/>
    </row>
    <row r="75" customFormat="false" ht="13.5" hidden="false" customHeight="false" outlineLevel="0" collapsed="false">
      <c r="A75" s="14"/>
      <c r="B75" s="14"/>
    </row>
    <row r="76" customFormat="false" ht="13.5" hidden="false" customHeight="false" outlineLevel="0" collapsed="false">
      <c r="A76" s="14"/>
      <c r="B76" s="14"/>
    </row>
    <row r="77" customFormat="false" ht="13.5" hidden="false" customHeight="false" outlineLevel="0" collapsed="false">
      <c r="A77" s="14"/>
      <c r="B77" s="14"/>
    </row>
    <row r="78" customFormat="false" ht="13.5" hidden="false" customHeight="false" outlineLevel="0" collapsed="false">
      <c r="A78" s="14"/>
      <c r="B78" s="14"/>
    </row>
    <row r="79" customFormat="false" ht="13.5" hidden="false" customHeight="false" outlineLevel="0" collapsed="false">
      <c r="A79" s="14"/>
      <c r="B79" s="14"/>
    </row>
    <row r="80" customFormat="false" ht="13.5" hidden="false" customHeight="false" outlineLevel="0" collapsed="false">
      <c r="A80" s="14"/>
      <c r="B80" s="14"/>
    </row>
    <row r="81" customFormat="false" ht="13.5" hidden="false" customHeight="false" outlineLevel="0" collapsed="false">
      <c r="A81" s="14"/>
      <c r="B81" s="14"/>
    </row>
    <row r="82" customFormat="false" ht="13.5" hidden="false" customHeight="false" outlineLevel="0" collapsed="false">
      <c r="A82" s="14"/>
      <c r="B82" s="14"/>
    </row>
    <row r="83" customFormat="false" ht="13.5" hidden="false" customHeight="false" outlineLevel="0" collapsed="false">
      <c r="A83" s="14"/>
      <c r="B83" s="14"/>
    </row>
    <row r="84" customFormat="false" ht="13.5" hidden="false" customHeight="false" outlineLevel="0" collapsed="false">
      <c r="A84" s="14"/>
      <c r="B84" s="14"/>
    </row>
    <row r="85" customFormat="false" ht="13.5" hidden="false" customHeight="false" outlineLevel="0" collapsed="false">
      <c r="A85" s="14"/>
      <c r="B85" s="14"/>
    </row>
    <row r="86" customFormat="false" ht="13.5" hidden="false" customHeight="false" outlineLevel="0" collapsed="false">
      <c r="A86" s="14"/>
      <c r="B86" s="14"/>
    </row>
    <row r="87" customFormat="false" ht="13.5" hidden="false" customHeight="false" outlineLevel="0" collapsed="false">
      <c r="A87" s="14"/>
      <c r="B87" s="14"/>
    </row>
    <row r="88" customFormat="false" ht="13.5" hidden="false" customHeight="false" outlineLevel="0" collapsed="false">
      <c r="A88" s="14"/>
      <c r="B88" s="14"/>
    </row>
    <row r="89" customFormat="false" ht="13.5" hidden="false" customHeight="false" outlineLevel="0" collapsed="false">
      <c r="A89" s="14"/>
      <c r="B89" s="14"/>
    </row>
    <row r="90" customFormat="false" ht="13.5" hidden="false" customHeight="false" outlineLevel="0" collapsed="false">
      <c r="A90" s="14"/>
      <c r="B90" s="14"/>
    </row>
    <row r="91" customFormat="false" ht="13.5" hidden="false" customHeight="false" outlineLevel="0" collapsed="false">
      <c r="A91" s="14"/>
      <c r="B91" s="14"/>
    </row>
    <row r="92" customFormat="false" ht="13.5" hidden="false" customHeight="false" outlineLevel="0" collapsed="false">
      <c r="A92" s="14"/>
      <c r="B92" s="14"/>
    </row>
    <row r="93" customFormat="false" ht="13.5" hidden="false" customHeight="false" outlineLevel="0" collapsed="false">
      <c r="A93" s="14"/>
      <c r="B93" s="14"/>
    </row>
    <row r="94" customFormat="false" ht="13.5" hidden="false" customHeight="false" outlineLevel="0" collapsed="false">
      <c r="A94" s="14"/>
      <c r="B94" s="14"/>
    </row>
    <row r="95" customFormat="false" ht="13.5" hidden="false" customHeight="false" outlineLevel="0" collapsed="false">
      <c r="A95" s="14"/>
      <c r="B95" s="14"/>
    </row>
    <row r="96" customFormat="false" ht="13.5" hidden="false" customHeight="false" outlineLevel="0" collapsed="false">
      <c r="A96" s="14"/>
      <c r="B96" s="14"/>
    </row>
    <row r="97" customFormat="false" ht="13.5" hidden="false" customHeight="false" outlineLevel="0" collapsed="false">
      <c r="A97" s="14"/>
      <c r="B97" s="14"/>
    </row>
    <row r="98" customFormat="false" ht="13.5" hidden="false" customHeight="false" outlineLevel="0" collapsed="false">
      <c r="A98" s="14"/>
      <c r="B98" s="14"/>
    </row>
    <row r="99" customFormat="false" ht="13.5" hidden="false" customHeight="false" outlineLevel="0" collapsed="false">
      <c r="A99" s="14"/>
      <c r="B99" s="14"/>
    </row>
    <row r="100" customFormat="false" ht="13.5" hidden="false" customHeight="false" outlineLevel="0" collapsed="false">
      <c r="A100" s="14"/>
      <c r="B100" s="14"/>
    </row>
    <row r="101" customFormat="false" ht="13.5" hidden="false" customHeight="false" outlineLevel="0" collapsed="false">
      <c r="A101" s="14"/>
      <c r="B101" s="14"/>
    </row>
    <row r="102" customFormat="false" ht="13.5" hidden="false" customHeight="false" outlineLevel="0" collapsed="false">
      <c r="A102" s="14"/>
      <c r="B102" s="14"/>
    </row>
    <row r="103" customFormat="false" ht="13.5" hidden="false" customHeight="false" outlineLevel="0" collapsed="false">
      <c r="A103" s="14"/>
      <c r="B103" s="14"/>
    </row>
    <row r="104" customFormat="false" ht="13.5" hidden="false" customHeight="false" outlineLevel="0" collapsed="false">
      <c r="A104" s="14"/>
      <c r="B104" s="14"/>
    </row>
    <row r="105" customFormat="false" ht="13.5" hidden="false" customHeight="false" outlineLevel="0" collapsed="false">
      <c r="A105" s="14"/>
      <c r="B105" s="14"/>
    </row>
    <row r="106" customFormat="false" ht="13.5" hidden="false" customHeight="false" outlineLevel="0" collapsed="false">
      <c r="A106" s="14"/>
      <c r="B106" s="14"/>
    </row>
    <row r="107" customFormat="false" ht="13.5" hidden="false" customHeight="false" outlineLevel="0" collapsed="false">
      <c r="A107" s="14"/>
      <c r="B107" s="14"/>
    </row>
    <row r="108" customFormat="false" ht="13.5" hidden="false" customHeight="false" outlineLevel="0" collapsed="false">
      <c r="A108" s="14"/>
      <c r="B108" s="14"/>
    </row>
    <row r="109" customFormat="false" ht="13.5" hidden="false" customHeight="false" outlineLevel="0" collapsed="false">
      <c r="A109" s="14"/>
      <c r="B109" s="14"/>
    </row>
    <row r="110" customFormat="false" ht="13.5" hidden="false" customHeight="false" outlineLevel="0" collapsed="false">
      <c r="A110" s="14"/>
      <c r="B110" s="14"/>
    </row>
    <row r="111" customFormat="false" ht="13.5" hidden="false" customHeight="false" outlineLevel="0" collapsed="false">
      <c r="A111" s="14"/>
      <c r="B111" s="14"/>
    </row>
    <row r="112" customFormat="false" ht="13.5" hidden="false" customHeight="false" outlineLevel="0" collapsed="false">
      <c r="A112" s="14"/>
      <c r="B112" s="14"/>
    </row>
    <row r="113" customFormat="false" ht="13.5" hidden="false" customHeight="false" outlineLevel="0" collapsed="false">
      <c r="A113" s="14"/>
      <c r="B113" s="14"/>
    </row>
    <row r="114" customFormat="false" ht="13.5" hidden="false" customHeight="false" outlineLevel="0" collapsed="false">
      <c r="A114" s="14"/>
      <c r="B114" s="14"/>
    </row>
    <row r="115" customFormat="false" ht="13.5" hidden="false" customHeight="false" outlineLevel="0" collapsed="false">
      <c r="A115" s="14"/>
      <c r="B115" s="14"/>
    </row>
    <row r="116" customFormat="false" ht="13.5" hidden="false" customHeight="false" outlineLevel="0" collapsed="false">
      <c r="A116" s="14"/>
      <c r="B116" s="14"/>
    </row>
    <row r="117" customFormat="false" ht="13.5" hidden="false" customHeight="false" outlineLevel="0" collapsed="false">
      <c r="A117" s="14"/>
      <c r="B117" s="14"/>
    </row>
    <row r="118" customFormat="false" ht="13.5" hidden="false" customHeight="false" outlineLevel="0" collapsed="false">
      <c r="A118" s="14"/>
      <c r="B118" s="14"/>
    </row>
    <row r="119" customFormat="false" ht="13.5" hidden="false" customHeight="false" outlineLevel="0" collapsed="false">
      <c r="A119" s="14"/>
      <c r="B119" s="14"/>
    </row>
    <row r="120" customFormat="false" ht="13.5" hidden="false" customHeight="false" outlineLevel="0" collapsed="false">
      <c r="A120" s="14"/>
      <c r="B120" s="14"/>
    </row>
    <row r="121" customFormat="false" ht="13.5" hidden="false" customHeight="false" outlineLevel="0" collapsed="false">
      <c r="A121" s="14"/>
      <c r="B121" s="14"/>
    </row>
    <row r="122" customFormat="false" ht="13.5" hidden="false" customHeight="false" outlineLevel="0" collapsed="false">
      <c r="A122" s="14"/>
      <c r="B122" s="14"/>
    </row>
    <row r="123" customFormat="false" ht="13.5" hidden="false" customHeight="false" outlineLevel="0" collapsed="false">
      <c r="A123" s="14"/>
      <c r="B123" s="14"/>
    </row>
    <row r="124" customFormat="false" ht="13.5" hidden="false" customHeight="false" outlineLevel="0" collapsed="false">
      <c r="A124" s="14"/>
      <c r="B124" s="14"/>
    </row>
    <row r="125" customFormat="false" ht="13.5" hidden="false" customHeight="false" outlineLevel="0" collapsed="false">
      <c r="A125" s="14"/>
      <c r="B125" s="14"/>
    </row>
    <row r="126" customFormat="false" ht="13.5" hidden="false" customHeight="false" outlineLevel="0" collapsed="false">
      <c r="A126" s="14"/>
      <c r="B126" s="14"/>
    </row>
    <row r="127" customFormat="false" ht="13.5" hidden="false" customHeight="false" outlineLevel="0" collapsed="false">
      <c r="A127" s="14"/>
      <c r="B127" s="14"/>
    </row>
    <row r="128" customFormat="false" ht="13.5" hidden="false" customHeight="false" outlineLevel="0" collapsed="false">
      <c r="A128" s="14"/>
      <c r="B128" s="14"/>
    </row>
    <row r="129" customFormat="false" ht="13.5" hidden="false" customHeight="false" outlineLevel="0" collapsed="false">
      <c r="A129" s="14"/>
      <c r="B129" s="14"/>
    </row>
    <row r="130" customFormat="false" ht="13.5" hidden="false" customHeight="false" outlineLevel="0" collapsed="false">
      <c r="A130" s="14"/>
      <c r="B130" s="14"/>
    </row>
    <row r="131" customFormat="false" ht="13.5" hidden="false" customHeight="false" outlineLevel="0" collapsed="false">
      <c r="A131" s="14"/>
      <c r="B131" s="14"/>
    </row>
    <row r="132" customFormat="false" ht="13.5" hidden="false" customHeight="false" outlineLevel="0" collapsed="false">
      <c r="A132" s="14"/>
      <c r="B132" s="14"/>
    </row>
    <row r="133" customFormat="false" ht="13.5" hidden="false" customHeight="false" outlineLevel="0" collapsed="false">
      <c r="A133" s="14"/>
      <c r="B133" s="14"/>
    </row>
    <row r="134" customFormat="false" ht="13.5" hidden="false" customHeight="false" outlineLevel="0" collapsed="false">
      <c r="A134" s="14"/>
      <c r="B134" s="14"/>
    </row>
    <row r="135" customFormat="false" ht="13.5" hidden="false" customHeight="false" outlineLevel="0" collapsed="false">
      <c r="A135" s="14"/>
      <c r="B135" s="14"/>
    </row>
    <row r="136" customFormat="false" ht="13.5" hidden="false" customHeight="false" outlineLevel="0" collapsed="false">
      <c r="A136" s="14"/>
      <c r="B136" s="14"/>
    </row>
    <row r="137" customFormat="false" ht="13.5" hidden="false" customHeight="false" outlineLevel="0" collapsed="false">
      <c r="A137" s="14"/>
      <c r="B137" s="14"/>
    </row>
    <row r="138" customFormat="false" ht="13.5" hidden="false" customHeight="false" outlineLevel="0" collapsed="false">
      <c r="A138" s="14"/>
      <c r="B138" s="14"/>
    </row>
    <row r="139" customFormat="false" ht="13.5" hidden="false" customHeight="false" outlineLevel="0" collapsed="false">
      <c r="A139" s="14"/>
      <c r="B139" s="14"/>
    </row>
    <row r="140" customFormat="false" ht="13.5" hidden="false" customHeight="false" outlineLevel="0" collapsed="false">
      <c r="A140" s="14"/>
      <c r="B140" s="14"/>
    </row>
    <row r="141" customFormat="false" ht="13.5" hidden="false" customHeight="false" outlineLevel="0" collapsed="false">
      <c r="A141" s="14"/>
      <c r="B141" s="14"/>
    </row>
    <row r="142" customFormat="false" ht="13.5" hidden="false" customHeight="false" outlineLevel="0" collapsed="false">
      <c r="A142" s="14"/>
      <c r="B142" s="14"/>
    </row>
    <row r="143" customFormat="false" ht="13.5" hidden="false" customHeight="false" outlineLevel="0" collapsed="false">
      <c r="A143" s="14"/>
      <c r="B143" s="14"/>
    </row>
    <row r="144" customFormat="false" ht="13.5" hidden="false" customHeight="false" outlineLevel="0" collapsed="false">
      <c r="A144" s="14"/>
      <c r="B144" s="14"/>
    </row>
    <row r="145" customFormat="false" ht="13.5" hidden="false" customHeight="false" outlineLevel="0" collapsed="false">
      <c r="A145" s="14"/>
      <c r="B145" s="14"/>
    </row>
    <row r="146" customFormat="false" ht="13.5" hidden="false" customHeight="false" outlineLevel="0" collapsed="false">
      <c r="A146" s="14"/>
      <c r="B146" s="14"/>
    </row>
    <row r="147" customFormat="false" ht="13.5" hidden="false" customHeight="false" outlineLevel="0" collapsed="false">
      <c r="A147" s="14"/>
      <c r="B147" s="14"/>
    </row>
    <row r="148" customFormat="false" ht="13.5" hidden="false" customHeight="false" outlineLevel="0" collapsed="false">
      <c r="A148" s="14"/>
      <c r="B148" s="14"/>
    </row>
    <row r="149" customFormat="false" ht="13.5" hidden="false" customHeight="false" outlineLevel="0" collapsed="false">
      <c r="A149" s="14"/>
      <c r="B149" s="14"/>
    </row>
    <row r="150" customFormat="false" ht="13.5" hidden="false" customHeight="false" outlineLevel="0" collapsed="false">
      <c r="A150" s="14"/>
      <c r="B150" s="14"/>
    </row>
    <row r="151" customFormat="false" ht="13.5" hidden="false" customHeight="false" outlineLevel="0" collapsed="false">
      <c r="A151" s="14"/>
      <c r="B151" s="14"/>
    </row>
    <row r="152" customFormat="false" ht="13.5" hidden="false" customHeight="false" outlineLevel="0" collapsed="false">
      <c r="A152" s="14"/>
      <c r="B152" s="14"/>
    </row>
    <row r="153" customFormat="false" ht="13.5" hidden="false" customHeight="false" outlineLevel="0" collapsed="false">
      <c r="A153" s="14"/>
      <c r="B153" s="14"/>
    </row>
    <row r="154" customFormat="false" ht="13.5" hidden="false" customHeight="false" outlineLevel="0" collapsed="false">
      <c r="A154" s="14"/>
      <c r="B154" s="14"/>
    </row>
    <row r="155" customFormat="false" ht="13.5" hidden="false" customHeight="false" outlineLevel="0" collapsed="false">
      <c r="A155" s="14"/>
      <c r="B155" s="14"/>
    </row>
    <row r="156" customFormat="false" ht="13.5" hidden="false" customHeight="false" outlineLevel="0" collapsed="false">
      <c r="A156" s="14"/>
      <c r="B156" s="14"/>
    </row>
    <row r="157" customFormat="false" ht="13.5" hidden="false" customHeight="false" outlineLevel="0" collapsed="false">
      <c r="A157" s="14"/>
      <c r="B157" s="14"/>
    </row>
    <row r="158" customFormat="false" ht="13.5" hidden="false" customHeight="false" outlineLevel="0" collapsed="false">
      <c r="A158" s="14"/>
      <c r="B158" s="14"/>
    </row>
    <row r="159" customFormat="false" ht="13.5" hidden="false" customHeight="false" outlineLevel="0" collapsed="false">
      <c r="A159" s="14"/>
      <c r="B159" s="14"/>
    </row>
    <row r="160" customFormat="false" ht="13.5" hidden="false" customHeight="false" outlineLevel="0" collapsed="false">
      <c r="A160" s="14"/>
      <c r="B160" s="14"/>
    </row>
    <row r="161" customFormat="false" ht="13.5" hidden="false" customHeight="false" outlineLevel="0" collapsed="false">
      <c r="A161" s="14"/>
      <c r="B161" s="14"/>
    </row>
    <row r="162" customFormat="false" ht="13.5" hidden="false" customHeight="false" outlineLevel="0" collapsed="false">
      <c r="A162" s="14"/>
      <c r="B162" s="14"/>
    </row>
    <row r="163" customFormat="false" ht="13.5" hidden="false" customHeight="false" outlineLevel="0" collapsed="false">
      <c r="A163" s="14"/>
      <c r="B163" s="14"/>
    </row>
    <row r="164" customFormat="false" ht="13.5" hidden="false" customHeight="false" outlineLevel="0" collapsed="false">
      <c r="A164" s="14"/>
      <c r="B164" s="14"/>
    </row>
    <row r="165" customFormat="false" ht="13.5" hidden="false" customHeight="false" outlineLevel="0" collapsed="false">
      <c r="A165" s="14"/>
      <c r="B165" s="14"/>
    </row>
    <row r="166" customFormat="false" ht="13.5" hidden="false" customHeight="false" outlineLevel="0" collapsed="false">
      <c r="A166" s="14"/>
      <c r="B166" s="14"/>
    </row>
    <row r="167" customFormat="false" ht="13.5" hidden="false" customHeight="false" outlineLevel="0" collapsed="false">
      <c r="A167" s="14"/>
      <c r="B167" s="14"/>
    </row>
    <row r="168" customFormat="false" ht="13.5" hidden="false" customHeight="false" outlineLevel="0" collapsed="false">
      <c r="A168" s="14"/>
      <c r="B168" s="14"/>
    </row>
    <row r="169" customFormat="false" ht="13.5" hidden="false" customHeight="false" outlineLevel="0" collapsed="false">
      <c r="A169" s="14"/>
      <c r="B169" s="14"/>
    </row>
    <row r="170" customFormat="false" ht="13.5" hidden="false" customHeight="false" outlineLevel="0" collapsed="false">
      <c r="A170" s="14"/>
      <c r="B170" s="14"/>
    </row>
    <row r="171" customFormat="false" ht="13.5" hidden="false" customHeight="false" outlineLevel="0" collapsed="false">
      <c r="A171" s="14"/>
      <c r="B171" s="14"/>
    </row>
    <row r="172" customFormat="false" ht="13.5" hidden="false" customHeight="false" outlineLevel="0" collapsed="false">
      <c r="A172" s="14"/>
      <c r="B172" s="14"/>
    </row>
    <row r="173" customFormat="false" ht="13.5" hidden="false" customHeight="false" outlineLevel="0" collapsed="false">
      <c r="A173" s="14"/>
      <c r="B173" s="14"/>
    </row>
    <row r="174" customFormat="false" ht="13.5" hidden="false" customHeight="false" outlineLevel="0" collapsed="false">
      <c r="A174" s="14"/>
      <c r="B174" s="14"/>
    </row>
    <row r="175" customFormat="false" ht="13.5" hidden="false" customHeight="false" outlineLevel="0" collapsed="false">
      <c r="A175" s="14"/>
      <c r="B175" s="14"/>
    </row>
    <row r="176" customFormat="false" ht="13.5" hidden="false" customHeight="false" outlineLevel="0" collapsed="false">
      <c r="A176" s="14"/>
      <c r="B176" s="14"/>
    </row>
    <row r="177" customFormat="false" ht="13.5" hidden="false" customHeight="false" outlineLevel="0" collapsed="false">
      <c r="A177" s="14"/>
      <c r="B177" s="14"/>
    </row>
    <row r="178" customFormat="false" ht="13.5" hidden="false" customHeight="false" outlineLevel="0" collapsed="false">
      <c r="A178" s="14"/>
      <c r="B178" s="14"/>
    </row>
    <row r="179" customFormat="false" ht="13.5" hidden="false" customHeight="false" outlineLevel="0" collapsed="false">
      <c r="A179" s="14"/>
      <c r="B179" s="14"/>
    </row>
    <row r="180" customFormat="false" ht="13.5" hidden="false" customHeight="false" outlineLevel="0" collapsed="false">
      <c r="A180" s="14"/>
      <c r="B180" s="14"/>
    </row>
    <row r="181" customFormat="false" ht="13.5" hidden="false" customHeight="false" outlineLevel="0" collapsed="false">
      <c r="A181" s="14"/>
      <c r="B181" s="14"/>
    </row>
    <row r="182" customFormat="false" ht="13.5" hidden="false" customHeight="false" outlineLevel="0" collapsed="false">
      <c r="A182" s="14"/>
      <c r="B182" s="14"/>
    </row>
    <row r="183" customFormat="false" ht="13.5" hidden="false" customHeight="false" outlineLevel="0" collapsed="false">
      <c r="A183" s="14"/>
      <c r="B183" s="14"/>
    </row>
    <row r="184" customFormat="false" ht="13.5" hidden="false" customHeight="false" outlineLevel="0" collapsed="false">
      <c r="A184" s="14"/>
      <c r="B184" s="14"/>
    </row>
    <row r="185" customFormat="false" ht="13.5" hidden="false" customHeight="false" outlineLevel="0" collapsed="false">
      <c r="A185" s="14"/>
      <c r="B185" s="14"/>
    </row>
    <row r="186" customFormat="false" ht="13.5" hidden="false" customHeight="false" outlineLevel="0" collapsed="false">
      <c r="A186" s="14"/>
      <c r="B186" s="14"/>
    </row>
    <row r="187" customFormat="false" ht="13.5" hidden="false" customHeight="false" outlineLevel="0" collapsed="false">
      <c r="A187" s="14"/>
      <c r="B187" s="14"/>
    </row>
    <row r="188" customFormat="false" ht="13.5" hidden="false" customHeight="false" outlineLevel="0" collapsed="false">
      <c r="A188" s="14"/>
      <c r="B188" s="14"/>
    </row>
    <row r="189" customFormat="false" ht="13.5" hidden="false" customHeight="false" outlineLevel="0" collapsed="false">
      <c r="A189" s="14"/>
      <c r="B189" s="14"/>
    </row>
    <row r="190" customFormat="false" ht="13.5" hidden="false" customHeight="false" outlineLevel="0" collapsed="false">
      <c r="A190" s="14"/>
      <c r="B190" s="14"/>
    </row>
    <row r="191" customFormat="false" ht="13.5" hidden="false" customHeight="false" outlineLevel="0" collapsed="false">
      <c r="A191" s="14"/>
      <c r="B191" s="14"/>
    </row>
    <row r="192" customFormat="false" ht="13.5" hidden="false" customHeight="false" outlineLevel="0" collapsed="false">
      <c r="A192" s="14"/>
      <c r="B192" s="14"/>
    </row>
    <row r="193" customFormat="false" ht="13.5" hidden="false" customHeight="false" outlineLevel="0" collapsed="false">
      <c r="A193" s="14"/>
      <c r="B193" s="14"/>
    </row>
    <row r="194" customFormat="false" ht="13.5" hidden="false" customHeight="false" outlineLevel="0" collapsed="false">
      <c r="A194" s="14"/>
      <c r="B194" s="14"/>
    </row>
    <row r="195" customFormat="false" ht="13.5" hidden="false" customHeight="false" outlineLevel="0" collapsed="false">
      <c r="A195" s="14"/>
      <c r="B195" s="14"/>
    </row>
    <row r="196" customFormat="false" ht="13.5" hidden="false" customHeight="false" outlineLevel="0" collapsed="false">
      <c r="A196" s="14"/>
      <c r="B196" s="14"/>
    </row>
    <row r="197" customFormat="false" ht="13.5" hidden="false" customHeight="false" outlineLevel="0" collapsed="false">
      <c r="A197" s="14"/>
      <c r="B197" s="14"/>
    </row>
    <row r="198" customFormat="false" ht="13.5" hidden="false" customHeight="false" outlineLevel="0" collapsed="false">
      <c r="A198" s="14"/>
      <c r="B198" s="14"/>
    </row>
    <row r="199" customFormat="false" ht="13.5" hidden="false" customHeight="false" outlineLevel="0" collapsed="false">
      <c r="A199" s="14"/>
      <c r="B199" s="14"/>
    </row>
    <row r="200" customFormat="false" ht="13.5" hidden="false" customHeight="false" outlineLevel="0" collapsed="false">
      <c r="A200" s="14"/>
      <c r="B200" s="14"/>
    </row>
    <row r="201" customFormat="false" ht="13.5" hidden="false" customHeight="false" outlineLevel="0" collapsed="false">
      <c r="A201" s="14"/>
      <c r="B201" s="14"/>
    </row>
    <row r="202" customFormat="false" ht="13.5" hidden="false" customHeight="false" outlineLevel="0" collapsed="false">
      <c r="A202" s="14"/>
      <c r="B202" s="14"/>
    </row>
    <row r="203" customFormat="false" ht="13.5" hidden="false" customHeight="false" outlineLevel="0" collapsed="false">
      <c r="A203" s="14"/>
      <c r="B203" s="14"/>
    </row>
    <row r="204" customFormat="false" ht="13.5" hidden="false" customHeight="false" outlineLevel="0" collapsed="false">
      <c r="A204" s="14"/>
      <c r="B204" s="14"/>
    </row>
    <row r="205" customFormat="false" ht="13.5" hidden="false" customHeight="false" outlineLevel="0" collapsed="false">
      <c r="A205" s="14"/>
      <c r="B205" s="14"/>
    </row>
    <row r="206" customFormat="false" ht="13.5" hidden="false" customHeight="false" outlineLevel="0" collapsed="false">
      <c r="A206" s="14"/>
      <c r="B206" s="14"/>
    </row>
    <row r="207" customFormat="false" ht="13.5" hidden="false" customHeight="false" outlineLevel="0" collapsed="false">
      <c r="A207" s="14"/>
      <c r="B207" s="14"/>
    </row>
    <row r="208" customFormat="false" ht="13.5" hidden="false" customHeight="false" outlineLevel="0" collapsed="false">
      <c r="A208" s="14"/>
      <c r="B208" s="14"/>
    </row>
    <row r="209" customFormat="false" ht="13.5" hidden="false" customHeight="false" outlineLevel="0" collapsed="false">
      <c r="A209" s="14"/>
      <c r="B209" s="14"/>
    </row>
    <row r="210" customFormat="false" ht="13.5" hidden="false" customHeight="false" outlineLevel="0" collapsed="false">
      <c r="A210" s="14"/>
      <c r="B210" s="14"/>
    </row>
    <row r="211" customFormat="false" ht="13.5" hidden="false" customHeight="false" outlineLevel="0" collapsed="false">
      <c r="A211" s="14"/>
      <c r="B211" s="14"/>
    </row>
    <row r="212" customFormat="false" ht="13.5" hidden="false" customHeight="false" outlineLevel="0" collapsed="false">
      <c r="A212" s="14"/>
      <c r="B212" s="14"/>
    </row>
    <row r="213" customFormat="false" ht="13.5" hidden="false" customHeight="false" outlineLevel="0" collapsed="false">
      <c r="A213" s="14"/>
      <c r="B213" s="14"/>
    </row>
    <row r="214" customFormat="false" ht="13.5" hidden="false" customHeight="false" outlineLevel="0" collapsed="false">
      <c r="A214" s="14"/>
      <c r="B214" s="14"/>
    </row>
    <row r="215" customFormat="false" ht="13.5" hidden="false" customHeight="false" outlineLevel="0" collapsed="false">
      <c r="A215" s="14"/>
      <c r="B215" s="14"/>
    </row>
    <row r="216" customFormat="false" ht="13.5" hidden="false" customHeight="false" outlineLevel="0" collapsed="false">
      <c r="A216" s="14"/>
      <c r="B216" s="14"/>
    </row>
    <row r="217" customFormat="false" ht="13.5" hidden="false" customHeight="false" outlineLevel="0" collapsed="false">
      <c r="A217" s="14"/>
      <c r="B217" s="14"/>
    </row>
    <row r="218" customFormat="false" ht="13.5" hidden="false" customHeight="false" outlineLevel="0" collapsed="false">
      <c r="A218" s="14"/>
      <c r="B218" s="14"/>
    </row>
    <row r="219" customFormat="false" ht="13.5" hidden="false" customHeight="false" outlineLevel="0" collapsed="false">
      <c r="A219" s="14"/>
      <c r="B219" s="14"/>
    </row>
    <row r="220" customFormat="false" ht="13.5" hidden="false" customHeight="false" outlineLevel="0" collapsed="false">
      <c r="A220" s="14"/>
      <c r="B220" s="14"/>
    </row>
    <row r="221" customFormat="false" ht="13.5" hidden="false" customHeight="false" outlineLevel="0" collapsed="false">
      <c r="A221" s="14"/>
      <c r="B221" s="14"/>
    </row>
    <row r="222" customFormat="false" ht="13.5" hidden="false" customHeight="false" outlineLevel="0" collapsed="false">
      <c r="A222" s="14"/>
      <c r="B222" s="14"/>
    </row>
    <row r="223" customFormat="false" ht="13.5" hidden="false" customHeight="false" outlineLevel="0" collapsed="false">
      <c r="A223" s="14"/>
      <c r="B223" s="14"/>
    </row>
    <row r="224" customFormat="false" ht="13.5" hidden="false" customHeight="false" outlineLevel="0" collapsed="false">
      <c r="A224" s="14"/>
      <c r="B224" s="14"/>
    </row>
    <row r="225" customFormat="false" ht="13.5" hidden="false" customHeight="false" outlineLevel="0" collapsed="false">
      <c r="A225" s="14"/>
      <c r="B225" s="14"/>
    </row>
    <row r="226" customFormat="false" ht="13.5" hidden="false" customHeight="false" outlineLevel="0" collapsed="false">
      <c r="A226" s="14"/>
      <c r="B226" s="14"/>
    </row>
    <row r="227" customFormat="false" ht="13.5" hidden="false" customHeight="false" outlineLevel="0" collapsed="false">
      <c r="A227" s="14"/>
      <c r="B227" s="14"/>
    </row>
    <row r="228" customFormat="false" ht="13.5" hidden="false" customHeight="false" outlineLevel="0" collapsed="false">
      <c r="A228" s="14"/>
      <c r="B228" s="14"/>
    </row>
    <row r="229" customFormat="false" ht="13.5" hidden="false" customHeight="false" outlineLevel="0" collapsed="false">
      <c r="A229" s="14"/>
      <c r="B229" s="14"/>
    </row>
    <row r="230" customFormat="false" ht="13.5" hidden="false" customHeight="false" outlineLevel="0" collapsed="false">
      <c r="A230" s="14"/>
      <c r="B230" s="14"/>
    </row>
    <row r="231" customFormat="false" ht="13.5" hidden="false" customHeight="false" outlineLevel="0" collapsed="false">
      <c r="A231" s="14"/>
      <c r="B231" s="14"/>
    </row>
    <row r="232" customFormat="false" ht="13.5" hidden="false" customHeight="false" outlineLevel="0" collapsed="false">
      <c r="A232" s="14"/>
      <c r="B232" s="14"/>
    </row>
    <row r="233" customFormat="false" ht="13.5" hidden="false" customHeight="false" outlineLevel="0" collapsed="false">
      <c r="A233" s="14"/>
      <c r="B233" s="14"/>
    </row>
    <row r="234" customFormat="false" ht="13.5" hidden="false" customHeight="false" outlineLevel="0" collapsed="false">
      <c r="A234" s="14"/>
      <c r="B234" s="14"/>
    </row>
    <row r="235" customFormat="false" ht="13.5" hidden="false" customHeight="false" outlineLevel="0" collapsed="false">
      <c r="A235" s="14"/>
      <c r="B235" s="14"/>
    </row>
    <row r="236" customFormat="false" ht="13.5" hidden="false" customHeight="false" outlineLevel="0" collapsed="false">
      <c r="A236" s="14"/>
      <c r="B236" s="14"/>
    </row>
    <row r="237" customFormat="false" ht="13.5" hidden="false" customHeight="false" outlineLevel="0" collapsed="false">
      <c r="A237" s="14"/>
      <c r="B237" s="14"/>
    </row>
    <row r="238" customFormat="false" ht="13.5" hidden="false" customHeight="false" outlineLevel="0" collapsed="false">
      <c r="A238" s="14"/>
      <c r="B238" s="14"/>
    </row>
    <row r="239" customFormat="false" ht="13.5" hidden="false" customHeight="false" outlineLevel="0" collapsed="false">
      <c r="A239" s="14"/>
      <c r="B239" s="14"/>
    </row>
    <row r="240" customFormat="false" ht="13.5" hidden="false" customHeight="false" outlineLevel="0" collapsed="false">
      <c r="A240" s="14"/>
      <c r="B240" s="14"/>
    </row>
    <row r="241" customFormat="false" ht="13.5" hidden="false" customHeight="false" outlineLevel="0" collapsed="false">
      <c r="A241" s="14"/>
      <c r="B241" s="14"/>
    </row>
    <row r="242" customFormat="false" ht="13.5" hidden="false" customHeight="false" outlineLevel="0" collapsed="false">
      <c r="A242" s="14"/>
      <c r="B242" s="14"/>
    </row>
    <row r="243" customFormat="false" ht="13.5" hidden="false" customHeight="false" outlineLevel="0" collapsed="false">
      <c r="A243" s="14"/>
      <c r="B243" s="14"/>
    </row>
    <row r="244" customFormat="false" ht="13.5" hidden="false" customHeight="false" outlineLevel="0" collapsed="false">
      <c r="A244" s="14"/>
      <c r="B244" s="14"/>
    </row>
    <row r="245" customFormat="false" ht="13.5" hidden="false" customHeight="false" outlineLevel="0" collapsed="false">
      <c r="A245" s="14"/>
      <c r="B245" s="14"/>
    </row>
    <row r="246" customFormat="false" ht="13.5" hidden="false" customHeight="false" outlineLevel="0" collapsed="false">
      <c r="A246" s="14"/>
      <c r="B246" s="14"/>
    </row>
    <row r="247" customFormat="false" ht="13.5" hidden="false" customHeight="false" outlineLevel="0" collapsed="false">
      <c r="A247" s="14"/>
      <c r="B247" s="14"/>
    </row>
    <row r="248" customFormat="false" ht="13.5" hidden="false" customHeight="false" outlineLevel="0" collapsed="false">
      <c r="A248" s="14"/>
      <c r="B248" s="14"/>
    </row>
    <row r="249" customFormat="false" ht="13.5" hidden="false" customHeight="false" outlineLevel="0" collapsed="false">
      <c r="A249" s="14"/>
      <c r="B249" s="14"/>
    </row>
    <row r="250" customFormat="false" ht="13.5" hidden="false" customHeight="false" outlineLevel="0" collapsed="false">
      <c r="A250" s="14"/>
      <c r="B250" s="14"/>
    </row>
    <row r="251" customFormat="false" ht="13.5" hidden="false" customHeight="false" outlineLevel="0" collapsed="false">
      <c r="A251" s="14"/>
      <c r="B251" s="14"/>
    </row>
    <row r="252" customFormat="false" ht="13.5" hidden="false" customHeight="false" outlineLevel="0" collapsed="false">
      <c r="A252" s="14"/>
      <c r="B252" s="14"/>
    </row>
    <row r="253" customFormat="false" ht="13.5" hidden="false" customHeight="false" outlineLevel="0" collapsed="false">
      <c r="A253" s="14"/>
      <c r="B253" s="14"/>
    </row>
    <row r="254" customFormat="false" ht="13.5" hidden="false" customHeight="false" outlineLevel="0" collapsed="false">
      <c r="A254" s="14"/>
      <c r="B254" s="14"/>
    </row>
    <row r="255" customFormat="false" ht="13.5" hidden="false" customHeight="false" outlineLevel="0" collapsed="false">
      <c r="A255" s="14"/>
      <c r="B255" s="14"/>
    </row>
    <row r="256" customFormat="false" ht="13.5" hidden="false" customHeight="false" outlineLevel="0" collapsed="false">
      <c r="A256" s="14"/>
      <c r="B256" s="14"/>
    </row>
    <row r="257" customFormat="false" ht="13.5" hidden="false" customHeight="false" outlineLevel="0" collapsed="false">
      <c r="A257" s="14"/>
      <c r="B257" s="14"/>
    </row>
    <row r="258" customFormat="false" ht="13.5" hidden="false" customHeight="false" outlineLevel="0" collapsed="false">
      <c r="A258" s="14"/>
      <c r="B258" s="14"/>
    </row>
    <row r="259" customFormat="false" ht="13.5" hidden="false" customHeight="false" outlineLevel="0" collapsed="false">
      <c r="A259" s="14"/>
      <c r="B259" s="14"/>
    </row>
    <row r="260" customFormat="false" ht="13.5" hidden="false" customHeight="false" outlineLevel="0" collapsed="false">
      <c r="A260" s="14"/>
      <c r="B260" s="14"/>
    </row>
    <row r="261" customFormat="false" ht="13.5" hidden="false" customHeight="false" outlineLevel="0" collapsed="false">
      <c r="A261" s="14"/>
      <c r="B261" s="14"/>
    </row>
    <row r="262" customFormat="false" ht="13.5" hidden="false" customHeight="false" outlineLevel="0" collapsed="false">
      <c r="A262" s="14"/>
      <c r="B262" s="14"/>
    </row>
    <row r="263" customFormat="false" ht="13.5" hidden="false" customHeight="false" outlineLevel="0" collapsed="false">
      <c r="A263" s="14"/>
      <c r="B263" s="14"/>
    </row>
    <row r="264" customFormat="false" ht="13.5" hidden="false" customHeight="false" outlineLevel="0" collapsed="false">
      <c r="A264" s="14"/>
      <c r="B264" s="14"/>
    </row>
    <row r="265" customFormat="false" ht="13.5" hidden="false" customHeight="false" outlineLevel="0" collapsed="false">
      <c r="A265" s="14"/>
      <c r="B265" s="14"/>
    </row>
    <row r="266" customFormat="false" ht="13.5" hidden="false" customHeight="false" outlineLevel="0" collapsed="false">
      <c r="A266" s="14"/>
      <c r="B266" s="14"/>
    </row>
    <row r="267" customFormat="false" ht="13.5" hidden="false" customHeight="false" outlineLevel="0" collapsed="false">
      <c r="A267" s="14"/>
      <c r="B267" s="14"/>
    </row>
    <row r="268" customFormat="false" ht="13.5" hidden="false" customHeight="false" outlineLevel="0" collapsed="false">
      <c r="A268" s="14"/>
      <c r="B268" s="14"/>
    </row>
    <row r="269" customFormat="false" ht="13.5" hidden="false" customHeight="false" outlineLevel="0" collapsed="false">
      <c r="A269" s="14"/>
      <c r="B269" s="14"/>
    </row>
    <row r="270" customFormat="false" ht="13.5" hidden="false" customHeight="false" outlineLevel="0" collapsed="false">
      <c r="A270" s="14"/>
      <c r="B270" s="14"/>
    </row>
    <row r="271" customFormat="false" ht="13.5" hidden="false" customHeight="false" outlineLevel="0" collapsed="false">
      <c r="A271" s="14"/>
      <c r="B271" s="14"/>
    </row>
    <row r="272" customFormat="false" ht="13.5" hidden="false" customHeight="false" outlineLevel="0" collapsed="false">
      <c r="A272" s="14"/>
      <c r="B272" s="14"/>
    </row>
    <row r="273" customFormat="false" ht="13.5" hidden="false" customHeight="false" outlineLevel="0" collapsed="false">
      <c r="A273" s="14"/>
      <c r="B273" s="14"/>
    </row>
    <row r="274" customFormat="false" ht="13.5" hidden="false" customHeight="false" outlineLevel="0" collapsed="false">
      <c r="A274" s="14"/>
      <c r="B274" s="14"/>
    </row>
    <row r="275" customFormat="false" ht="13.5" hidden="false" customHeight="false" outlineLevel="0" collapsed="false">
      <c r="A275" s="14"/>
      <c r="B275" s="14"/>
    </row>
    <row r="276" customFormat="false" ht="13.5" hidden="false" customHeight="false" outlineLevel="0" collapsed="false">
      <c r="A276" s="14"/>
      <c r="B276" s="14"/>
    </row>
    <row r="277" customFormat="false" ht="13.5" hidden="false" customHeight="false" outlineLevel="0" collapsed="false">
      <c r="A277" s="14"/>
      <c r="B277" s="14"/>
    </row>
    <row r="278" customFormat="false" ht="13.5" hidden="false" customHeight="false" outlineLevel="0" collapsed="false">
      <c r="A278" s="14"/>
      <c r="B278" s="14"/>
    </row>
    <row r="279" customFormat="false" ht="13.5" hidden="false" customHeight="false" outlineLevel="0" collapsed="false">
      <c r="A279" s="14"/>
      <c r="B279" s="14"/>
    </row>
    <row r="280" customFormat="false" ht="13.5" hidden="false" customHeight="false" outlineLevel="0" collapsed="false">
      <c r="A280" s="14"/>
      <c r="B280" s="14"/>
    </row>
    <row r="281" customFormat="false" ht="13.5" hidden="false" customHeight="false" outlineLevel="0" collapsed="false">
      <c r="A281" s="14"/>
      <c r="B281" s="14"/>
    </row>
    <row r="282" customFormat="false" ht="13.5" hidden="false" customHeight="false" outlineLevel="0" collapsed="false">
      <c r="A282" s="14"/>
      <c r="B282" s="14"/>
    </row>
    <row r="283" customFormat="false" ht="13.5" hidden="false" customHeight="false" outlineLevel="0" collapsed="false">
      <c r="A283" s="14"/>
      <c r="B283" s="14"/>
    </row>
    <row r="284" customFormat="false" ht="13.5" hidden="false" customHeight="false" outlineLevel="0" collapsed="false">
      <c r="A284" s="14"/>
      <c r="B284" s="14"/>
    </row>
    <row r="285" customFormat="false" ht="13.5" hidden="false" customHeight="false" outlineLevel="0" collapsed="false">
      <c r="A285" s="14"/>
      <c r="B285" s="14"/>
    </row>
    <row r="286" customFormat="false" ht="13.5" hidden="false" customHeight="false" outlineLevel="0" collapsed="false">
      <c r="A286" s="14"/>
      <c r="B286" s="14"/>
    </row>
    <row r="287" customFormat="false" ht="13.5" hidden="false" customHeight="false" outlineLevel="0" collapsed="false">
      <c r="A287" s="14"/>
      <c r="B287" s="14"/>
    </row>
    <row r="288" customFormat="false" ht="13.5" hidden="false" customHeight="false" outlineLevel="0" collapsed="false">
      <c r="A288" s="14"/>
      <c r="B288" s="14"/>
    </row>
    <row r="289" customFormat="false" ht="13.5" hidden="false" customHeight="false" outlineLevel="0" collapsed="false">
      <c r="A289" s="14"/>
      <c r="B289" s="14"/>
    </row>
    <row r="290" customFormat="false" ht="13.5" hidden="false" customHeight="false" outlineLevel="0" collapsed="false">
      <c r="A290" s="14"/>
      <c r="B290" s="14"/>
    </row>
    <row r="291" customFormat="false" ht="13.5" hidden="false" customHeight="false" outlineLevel="0" collapsed="false">
      <c r="A291" s="14"/>
      <c r="B291" s="14"/>
    </row>
    <row r="292" customFormat="false" ht="13.5" hidden="false" customHeight="false" outlineLevel="0" collapsed="false">
      <c r="A292" s="14"/>
      <c r="B292" s="14"/>
    </row>
    <row r="293" customFormat="false" ht="13.5" hidden="false" customHeight="false" outlineLevel="0" collapsed="false">
      <c r="A293" s="14"/>
      <c r="B293" s="14"/>
    </row>
    <row r="294" customFormat="false" ht="13.5" hidden="false" customHeight="false" outlineLevel="0" collapsed="false">
      <c r="A294" s="14"/>
      <c r="B294" s="14"/>
    </row>
    <row r="295" customFormat="false" ht="13.5" hidden="false" customHeight="false" outlineLevel="0" collapsed="false">
      <c r="A295" s="14"/>
      <c r="B295" s="14"/>
    </row>
    <row r="296" customFormat="false" ht="13.5" hidden="false" customHeight="false" outlineLevel="0" collapsed="false">
      <c r="A296" s="14"/>
      <c r="B296" s="14"/>
    </row>
    <row r="297" customFormat="false" ht="13.5" hidden="false" customHeight="false" outlineLevel="0" collapsed="false">
      <c r="A297" s="14"/>
      <c r="B297" s="14"/>
    </row>
    <row r="298" customFormat="false" ht="13.5" hidden="false" customHeight="false" outlineLevel="0" collapsed="false">
      <c r="A298" s="14"/>
      <c r="B298" s="14"/>
    </row>
    <row r="299" customFormat="false" ht="13.5" hidden="false" customHeight="false" outlineLevel="0" collapsed="false">
      <c r="A299" s="14"/>
      <c r="B299" s="14"/>
    </row>
    <row r="300" customFormat="false" ht="13.5" hidden="false" customHeight="false" outlineLevel="0" collapsed="false">
      <c r="A300" s="14"/>
      <c r="B300" s="14"/>
    </row>
    <row r="301" customFormat="false" ht="13.5" hidden="false" customHeight="false" outlineLevel="0" collapsed="false">
      <c r="A301" s="14"/>
      <c r="B301" s="14"/>
    </row>
    <row r="302" customFormat="false" ht="13.5" hidden="false" customHeight="false" outlineLevel="0" collapsed="false">
      <c r="A302" s="14"/>
      <c r="B302" s="14"/>
    </row>
    <row r="303" customFormat="false" ht="13.5" hidden="false" customHeight="false" outlineLevel="0" collapsed="false">
      <c r="A303" s="14"/>
      <c r="B303" s="14"/>
    </row>
    <row r="304" customFormat="false" ht="13.5" hidden="false" customHeight="false" outlineLevel="0" collapsed="false">
      <c r="A304" s="14"/>
      <c r="B304" s="14"/>
    </row>
    <row r="305" customFormat="false" ht="13.5" hidden="false" customHeight="false" outlineLevel="0" collapsed="false">
      <c r="A305" s="14"/>
      <c r="B305" s="14"/>
    </row>
    <row r="306" customFormat="false" ht="13.5" hidden="false" customHeight="false" outlineLevel="0" collapsed="false">
      <c r="A306" s="14"/>
      <c r="B306" s="14"/>
    </row>
    <row r="307" customFormat="false" ht="13.5" hidden="false" customHeight="false" outlineLevel="0" collapsed="false">
      <c r="A307" s="14"/>
      <c r="B307" s="14"/>
    </row>
    <row r="308" customFormat="false" ht="13.5" hidden="false" customHeight="false" outlineLevel="0" collapsed="false">
      <c r="A308" s="14"/>
      <c r="B308" s="14"/>
    </row>
    <row r="309" customFormat="false" ht="13.5" hidden="false" customHeight="false" outlineLevel="0" collapsed="false">
      <c r="A309" s="14"/>
      <c r="B309" s="14"/>
    </row>
    <row r="310" customFormat="false" ht="13.5" hidden="false" customHeight="false" outlineLevel="0" collapsed="false">
      <c r="A310" s="14"/>
      <c r="B310" s="14"/>
    </row>
    <row r="311" customFormat="false" ht="13.5" hidden="false" customHeight="false" outlineLevel="0" collapsed="false">
      <c r="A311" s="14"/>
      <c r="B311" s="14"/>
    </row>
    <row r="312" customFormat="false" ht="13.5" hidden="false" customHeight="false" outlineLevel="0" collapsed="false">
      <c r="A312" s="14"/>
      <c r="B312" s="14"/>
    </row>
    <row r="313" customFormat="false" ht="13.5" hidden="false" customHeight="false" outlineLevel="0" collapsed="false">
      <c r="A313" s="14"/>
      <c r="B313" s="14"/>
    </row>
    <row r="314" customFormat="false" ht="13.5" hidden="false" customHeight="false" outlineLevel="0" collapsed="false">
      <c r="A314" s="14"/>
      <c r="B314" s="14"/>
    </row>
    <row r="315" customFormat="false" ht="13.5" hidden="false" customHeight="false" outlineLevel="0" collapsed="false">
      <c r="A315" s="14"/>
      <c r="B315" s="14"/>
    </row>
    <row r="316" customFormat="false" ht="13.5" hidden="false" customHeight="false" outlineLevel="0" collapsed="false">
      <c r="A316" s="14"/>
      <c r="B316" s="14"/>
    </row>
    <row r="317" customFormat="false" ht="13.5" hidden="false" customHeight="false" outlineLevel="0" collapsed="false">
      <c r="A317" s="14"/>
      <c r="B317" s="14"/>
    </row>
    <row r="318" customFormat="false" ht="13.5" hidden="false" customHeight="false" outlineLevel="0" collapsed="false">
      <c r="A318" s="14"/>
      <c r="B318" s="14"/>
    </row>
    <row r="319" customFormat="false" ht="13.5" hidden="false" customHeight="false" outlineLevel="0" collapsed="false">
      <c r="A319" s="14"/>
      <c r="B319" s="14"/>
    </row>
    <row r="320" customFormat="false" ht="13.5" hidden="false" customHeight="false" outlineLevel="0" collapsed="false">
      <c r="A320" s="14"/>
      <c r="B320" s="14"/>
    </row>
    <row r="321" customFormat="false" ht="13.5" hidden="false" customHeight="false" outlineLevel="0" collapsed="false">
      <c r="A321" s="14"/>
      <c r="B321" s="14"/>
    </row>
    <row r="322" customFormat="false" ht="13.5" hidden="false" customHeight="false" outlineLevel="0" collapsed="false">
      <c r="A322" s="14"/>
      <c r="B322" s="14"/>
    </row>
    <row r="323" customFormat="false" ht="13.5" hidden="false" customHeight="false" outlineLevel="0" collapsed="false">
      <c r="A323" s="14"/>
      <c r="B323" s="14"/>
    </row>
    <row r="324" customFormat="false" ht="13.5" hidden="false" customHeight="false" outlineLevel="0" collapsed="false">
      <c r="A324" s="14"/>
      <c r="B324" s="14"/>
    </row>
    <row r="325" customFormat="false" ht="13.5" hidden="false" customHeight="false" outlineLevel="0" collapsed="false">
      <c r="A325" s="14"/>
      <c r="B325" s="14"/>
    </row>
    <row r="326" customFormat="false" ht="13.5" hidden="false" customHeight="false" outlineLevel="0" collapsed="false">
      <c r="A326" s="14"/>
      <c r="B326" s="14"/>
    </row>
    <row r="327" customFormat="false" ht="13.5" hidden="false" customHeight="false" outlineLevel="0" collapsed="false">
      <c r="A327" s="14"/>
      <c r="B327" s="14"/>
    </row>
    <row r="328" customFormat="false" ht="13.5" hidden="false" customHeight="false" outlineLevel="0" collapsed="false">
      <c r="A328" s="14"/>
      <c r="B328" s="14"/>
    </row>
    <row r="329" customFormat="false" ht="13.5" hidden="false" customHeight="false" outlineLevel="0" collapsed="false">
      <c r="A329" s="14"/>
      <c r="B329" s="14"/>
    </row>
    <row r="330" customFormat="false" ht="13.5" hidden="false" customHeight="false" outlineLevel="0" collapsed="false">
      <c r="A330" s="14"/>
      <c r="B330" s="14"/>
    </row>
    <row r="331" customFormat="false" ht="13.5" hidden="false" customHeight="false" outlineLevel="0" collapsed="false">
      <c r="A331" s="14"/>
      <c r="B331" s="14"/>
    </row>
    <row r="332" customFormat="false" ht="13.5" hidden="false" customHeight="false" outlineLevel="0" collapsed="false">
      <c r="A332" s="14"/>
      <c r="B332" s="14"/>
    </row>
    <row r="333" customFormat="false" ht="13.5" hidden="false" customHeight="false" outlineLevel="0" collapsed="false">
      <c r="A333" s="14"/>
      <c r="B333" s="14"/>
    </row>
    <row r="334" customFormat="false" ht="13.5" hidden="false" customHeight="false" outlineLevel="0" collapsed="false">
      <c r="A334" s="14"/>
      <c r="B334" s="14"/>
    </row>
    <row r="335" customFormat="false" ht="13.5" hidden="false" customHeight="false" outlineLevel="0" collapsed="false">
      <c r="A335" s="14"/>
      <c r="B335" s="14"/>
    </row>
    <row r="336" customFormat="false" ht="13.5" hidden="false" customHeight="false" outlineLevel="0" collapsed="false">
      <c r="A336" s="14"/>
      <c r="B336" s="14"/>
    </row>
    <row r="337" customFormat="false" ht="13.5" hidden="false" customHeight="false" outlineLevel="0" collapsed="false">
      <c r="A337" s="14"/>
      <c r="B337" s="14"/>
    </row>
    <row r="338" customFormat="false" ht="13.5" hidden="false" customHeight="false" outlineLevel="0" collapsed="false">
      <c r="A338" s="14"/>
      <c r="B338" s="14"/>
    </row>
    <row r="339" customFormat="false" ht="13.5" hidden="false" customHeight="false" outlineLevel="0" collapsed="false">
      <c r="A339" s="14"/>
      <c r="B339" s="14"/>
    </row>
    <row r="340" customFormat="false" ht="13.5" hidden="false" customHeight="false" outlineLevel="0" collapsed="false">
      <c r="A340" s="14"/>
      <c r="B340" s="14"/>
    </row>
    <row r="341" customFormat="false" ht="13.5" hidden="false" customHeight="false" outlineLevel="0" collapsed="false">
      <c r="A341" s="14"/>
      <c r="B341" s="14"/>
    </row>
    <row r="342" customFormat="false" ht="13.5" hidden="false" customHeight="false" outlineLevel="0" collapsed="false">
      <c r="A342" s="14"/>
      <c r="B342" s="14"/>
    </row>
    <row r="343" customFormat="false" ht="13.5" hidden="false" customHeight="false" outlineLevel="0" collapsed="false">
      <c r="A343" s="14"/>
      <c r="B343" s="14"/>
    </row>
    <row r="344" customFormat="false" ht="13.5" hidden="false" customHeight="false" outlineLevel="0" collapsed="false">
      <c r="A344" s="14"/>
      <c r="B344" s="14"/>
    </row>
    <row r="345" customFormat="false" ht="13.5" hidden="false" customHeight="false" outlineLevel="0" collapsed="false">
      <c r="A345" s="14"/>
      <c r="B345" s="14"/>
    </row>
    <row r="346" customFormat="false" ht="13.5" hidden="false" customHeight="false" outlineLevel="0" collapsed="false">
      <c r="A346" s="14"/>
      <c r="B346" s="14"/>
    </row>
    <row r="347" customFormat="false" ht="13.5" hidden="false" customHeight="false" outlineLevel="0" collapsed="false">
      <c r="A347" s="14"/>
      <c r="B347" s="14"/>
    </row>
    <row r="348" customFormat="false" ht="13.5" hidden="false" customHeight="false" outlineLevel="0" collapsed="false">
      <c r="A348" s="14"/>
      <c r="B348" s="14"/>
    </row>
    <row r="349" customFormat="false" ht="13.5" hidden="false" customHeight="false" outlineLevel="0" collapsed="false">
      <c r="A349" s="14"/>
      <c r="B349" s="14"/>
    </row>
    <row r="350" customFormat="false" ht="13.5" hidden="false" customHeight="false" outlineLevel="0" collapsed="false">
      <c r="A350" s="14"/>
      <c r="B350" s="14"/>
    </row>
    <row r="351" customFormat="false" ht="13.5" hidden="false" customHeight="false" outlineLevel="0" collapsed="false">
      <c r="A351" s="14"/>
      <c r="B351" s="14"/>
    </row>
    <row r="352" customFormat="false" ht="13.5" hidden="false" customHeight="false" outlineLevel="0" collapsed="false">
      <c r="A352" s="14"/>
      <c r="B352" s="14"/>
    </row>
    <row r="353" customFormat="false" ht="13.5" hidden="false" customHeight="false" outlineLevel="0" collapsed="false">
      <c r="A353" s="14"/>
      <c r="B353" s="14"/>
    </row>
    <row r="354" customFormat="false" ht="13.5" hidden="false" customHeight="false" outlineLevel="0" collapsed="false">
      <c r="A354" s="14"/>
      <c r="B354" s="14"/>
    </row>
    <row r="355" customFormat="false" ht="13.5" hidden="false" customHeight="false" outlineLevel="0" collapsed="false">
      <c r="A355" s="14"/>
      <c r="B355" s="14"/>
    </row>
    <row r="356" customFormat="false" ht="13.5" hidden="false" customHeight="false" outlineLevel="0" collapsed="false">
      <c r="A356" s="14"/>
      <c r="B356" s="14"/>
    </row>
    <row r="357" customFormat="false" ht="13.5" hidden="false" customHeight="false" outlineLevel="0" collapsed="false">
      <c r="A357" s="14"/>
      <c r="B357" s="14"/>
    </row>
    <row r="358" customFormat="false" ht="13.5" hidden="false" customHeight="false" outlineLevel="0" collapsed="false">
      <c r="A358" s="14"/>
      <c r="B358" s="14"/>
    </row>
    <row r="359" customFormat="false" ht="13.5" hidden="false" customHeight="false" outlineLevel="0" collapsed="false">
      <c r="A359" s="14"/>
      <c r="B359" s="14"/>
    </row>
    <row r="360" customFormat="false" ht="13.5" hidden="false" customHeight="false" outlineLevel="0" collapsed="false">
      <c r="A360" s="14"/>
      <c r="B360" s="14"/>
    </row>
    <row r="361" customFormat="false" ht="13.5" hidden="false" customHeight="false" outlineLevel="0" collapsed="false">
      <c r="A361" s="14"/>
      <c r="B361" s="14"/>
    </row>
    <row r="362" customFormat="false" ht="13.5" hidden="false" customHeight="false" outlineLevel="0" collapsed="false">
      <c r="A362" s="14"/>
      <c r="B362" s="14"/>
    </row>
    <row r="363" customFormat="false" ht="13.5" hidden="false" customHeight="false" outlineLevel="0" collapsed="false">
      <c r="A363" s="14"/>
      <c r="B363" s="14"/>
    </row>
    <row r="364" customFormat="false" ht="13.5" hidden="false" customHeight="false" outlineLevel="0" collapsed="false">
      <c r="A364" s="14"/>
      <c r="B364" s="14"/>
    </row>
    <row r="365" customFormat="false" ht="13.5" hidden="false" customHeight="false" outlineLevel="0" collapsed="false">
      <c r="A365" s="14"/>
      <c r="B365" s="14"/>
    </row>
    <row r="366" customFormat="false" ht="13.5" hidden="false" customHeight="false" outlineLevel="0" collapsed="false">
      <c r="A366" s="14"/>
      <c r="B366" s="14"/>
    </row>
    <row r="367" customFormat="false" ht="13.5" hidden="false" customHeight="false" outlineLevel="0" collapsed="false">
      <c r="A367" s="14"/>
      <c r="B367" s="14"/>
    </row>
    <row r="368" customFormat="false" ht="13.5" hidden="false" customHeight="false" outlineLevel="0" collapsed="false">
      <c r="A368" s="14"/>
      <c r="B368" s="14"/>
    </row>
    <row r="369" customFormat="false" ht="13.5" hidden="false" customHeight="false" outlineLevel="0" collapsed="false">
      <c r="A369" s="14"/>
      <c r="B369" s="14"/>
    </row>
    <row r="370" customFormat="false" ht="13.5" hidden="false" customHeight="false" outlineLevel="0" collapsed="false">
      <c r="A370" s="14"/>
      <c r="B370" s="14"/>
    </row>
    <row r="371" customFormat="false" ht="13.5" hidden="false" customHeight="false" outlineLevel="0" collapsed="false">
      <c r="A371" s="14"/>
      <c r="B371" s="14"/>
    </row>
    <row r="372" customFormat="false" ht="13.5" hidden="false" customHeight="false" outlineLevel="0" collapsed="false">
      <c r="A372" s="14"/>
      <c r="B372" s="14"/>
    </row>
    <row r="373" customFormat="false" ht="13.5" hidden="false" customHeight="false" outlineLevel="0" collapsed="false">
      <c r="A373" s="14"/>
      <c r="B373" s="14"/>
    </row>
    <row r="374" customFormat="false" ht="13.5" hidden="false" customHeight="false" outlineLevel="0" collapsed="false">
      <c r="A374" s="14"/>
      <c r="B374" s="14"/>
    </row>
    <row r="375" customFormat="false" ht="13.5" hidden="false" customHeight="false" outlineLevel="0" collapsed="false">
      <c r="A375" s="14"/>
      <c r="B375" s="14"/>
    </row>
    <row r="376" customFormat="false" ht="13.5" hidden="false" customHeight="false" outlineLevel="0" collapsed="false">
      <c r="A376" s="14"/>
      <c r="B376" s="14"/>
    </row>
    <row r="377" customFormat="false" ht="13.5" hidden="false" customHeight="false" outlineLevel="0" collapsed="false">
      <c r="A377" s="14"/>
      <c r="B377" s="14"/>
    </row>
    <row r="378" customFormat="false" ht="13.5" hidden="false" customHeight="false" outlineLevel="0" collapsed="false">
      <c r="A378" s="14"/>
      <c r="B378" s="14"/>
    </row>
    <row r="379" customFormat="false" ht="13.5" hidden="false" customHeight="false" outlineLevel="0" collapsed="false">
      <c r="A379" s="14"/>
      <c r="B379" s="14"/>
    </row>
    <row r="380" customFormat="false" ht="13.5" hidden="false" customHeight="false" outlineLevel="0" collapsed="false">
      <c r="A380" s="14"/>
      <c r="B380" s="14"/>
    </row>
    <row r="381" customFormat="false" ht="13.5" hidden="false" customHeight="false" outlineLevel="0" collapsed="false">
      <c r="A381" s="14"/>
      <c r="B381" s="14"/>
    </row>
    <row r="382" customFormat="false" ht="13.5" hidden="false" customHeight="false" outlineLevel="0" collapsed="false">
      <c r="A382" s="14"/>
      <c r="B382" s="14"/>
    </row>
    <row r="383" customFormat="false" ht="13.5" hidden="false" customHeight="false" outlineLevel="0" collapsed="false">
      <c r="A383" s="14"/>
      <c r="B383" s="14"/>
    </row>
    <row r="384" customFormat="false" ht="13.5" hidden="false" customHeight="false" outlineLevel="0" collapsed="false">
      <c r="A384" s="14"/>
      <c r="B384" s="14"/>
    </row>
    <row r="385" customFormat="false" ht="13.5" hidden="false" customHeight="false" outlineLevel="0" collapsed="false">
      <c r="A385" s="14"/>
      <c r="B385" s="14"/>
    </row>
    <row r="386" customFormat="false" ht="13.5" hidden="false" customHeight="false" outlineLevel="0" collapsed="false">
      <c r="A386" s="14"/>
      <c r="B386" s="14"/>
    </row>
    <row r="387" customFormat="false" ht="13.5" hidden="false" customHeight="false" outlineLevel="0" collapsed="false">
      <c r="A387" s="14"/>
      <c r="B387" s="14"/>
    </row>
    <row r="388" customFormat="false" ht="13.5" hidden="false" customHeight="false" outlineLevel="0" collapsed="false">
      <c r="A388" s="14"/>
      <c r="B388" s="14"/>
    </row>
    <row r="389" customFormat="false" ht="13.5" hidden="false" customHeight="false" outlineLevel="0" collapsed="false">
      <c r="A389" s="14"/>
      <c r="B389" s="14"/>
    </row>
    <row r="390" customFormat="false" ht="13.5" hidden="false" customHeight="false" outlineLevel="0" collapsed="false">
      <c r="A390" s="14"/>
      <c r="B390" s="14"/>
    </row>
    <row r="391" customFormat="false" ht="13.5" hidden="false" customHeight="false" outlineLevel="0" collapsed="false">
      <c r="A391" s="14"/>
      <c r="B391" s="14"/>
    </row>
    <row r="392" customFormat="false" ht="13.5" hidden="false" customHeight="false" outlineLevel="0" collapsed="false">
      <c r="A392" s="14"/>
      <c r="B392" s="14"/>
    </row>
    <row r="393" customFormat="false" ht="13.5" hidden="false" customHeight="false" outlineLevel="0" collapsed="false">
      <c r="A393" s="14"/>
      <c r="B393" s="14"/>
    </row>
    <row r="394" customFormat="false" ht="13.5" hidden="false" customHeight="false" outlineLevel="0" collapsed="false">
      <c r="A394" s="14"/>
      <c r="B394" s="14"/>
    </row>
    <row r="395" customFormat="false" ht="13.5" hidden="false" customHeight="false" outlineLevel="0" collapsed="false">
      <c r="A395" s="14"/>
      <c r="B395" s="14"/>
    </row>
    <row r="396" customFormat="false" ht="13.5" hidden="false" customHeight="false" outlineLevel="0" collapsed="false">
      <c r="A396" s="14"/>
      <c r="B396" s="14"/>
    </row>
    <row r="397" customFormat="false" ht="13.5" hidden="false" customHeight="false" outlineLevel="0" collapsed="false">
      <c r="A397" s="14"/>
      <c r="B397" s="14"/>
    </row>
    <row r="398" customFormat="false" ht="13.5" hidden="false" customHeight="false" outlineLevel="0" collapsed="false">
      <c r="A398" s="14"/>
      <c r="B398" s="14"/>
    </row>
    <row r="399" customFormat="false" ht="13.5" hidden="false" customHeight="false" outlineLevel="0" collapsed="false">
      <c r="A399" s="14"/>
      <c r="B399" s="14"/>
    </row>
    <row r="400" customFormat="false" ht="13.5" hidden="false" customHeight="false" outlineLevel="0" collapsed="false">
      <c r="A400" s="14"/>
      <c r="B400" s="14"/>
    </row>
    <row r="401" customFormat="false" ht="13.5" hidden="false" customHeight="false" outlineLevel="0" collapsed="false">
      <c r="A401" s="14"/>
      <c r="B401" s="14"/>
    </row>
    <row r="402" customFormat="false" ht="13.5" hidden="false" customHeight="false" outlineLevel="0" collapsed="false">
      <c r="A402" s="14"/>
      <c r="B402" s="14"/>
    </row>
    <row r="403" customFormat="false" ht="13.5" hidden="false" customHeight="false" outlineLevel="0" collapsed="false">
      <c r="A403" s="14"/>
      <c r="B403" s="14"/>
    </row>
    <row r="404" customFormat="false" ht="13.5" hidden="false" customHeight="false" outlineLevel="0" collapsed="false">
      <c r="A404" s="14"/>
      <c r="B404" s="14"/>
    </row>
    <row r="405" customFormat="false" ht="13.5" hidden="false" customHeight="false" outlineLevel="0" collapsed="false">
      <c r="A405" s="14"/>
      <c r="B405" s="14"/>
    </row>
    <row r="406" customFormat="false" ht="13.5" hidden="false" customHeight="false" outlineLevel="0" collapsed="false">
      <c r="A406" s="14"/>
      <c r="B406" s="14"/>
    </row>
    <row r="407" customFormat="false" ht="13.5" hidden="false" customHeight="false" outlineLevel="0" collapsed="false">
      <c r="A407" s="14"/>
      <c r="B407" s="14"/>
    </row>
    <row r="408" customFormat="false" ht="13.5" hidden="false" customHeight="false" outlineLevel="0" collapsed="false">
      <c r="A408" s="14"/>
      <c r="B408" s="14"/>
    </row>
    <row r="409" customFormat="false" ht="13.5" hidden="false" customHeight="false" outlineLevel="0" collapsed="false">
      <c r="A409" s="14"/>
      <c r="B409" s="14"/>
    </row>
    <row r="410" customFormat="false" ht="13.5" hidden="false" customHeight="false" outlineLevel="0" collapsed="false">
      <c r="A410" s="14"/>
      <c r="B410" s="14"/>
    </row>
    <row r="411" customFormat="false" ht="13.5" hidden="false" customHeight="false" outlineLevel="0" collapsed="false">
      <c r="A411" s="14"/>
      <c r="B411" s="14"/>
    </row>
    <row r="412" customFormat="false" ht="13.5" hidden="false" customHeight="false" outlineLevel="0" collapsed="false">
      <c r="A412" s="14"/>
      <c r="B412" s="14"/>
    </row>
    <row r="413" customFormat="false" ht="13.5" hidden="false" customHeight="false" outlineLevel="0" collapsed="false">
      <c r="A413" s="14"/>
      <c r="B413" s="14"/>
    </row>
    <row r="414" customFormat="false" ht="13.5" hidden="false" customHeight="false" outlineLevel="0" collapsed="false">
      <c r="A414" s="14"/>
      <c r="B414" s="14"/>
    </row>
    <row r="415" customFormat="false" ht="13.5" hidden="false" customHeight="false" outlineLevel="0" collapsed="false">
      <c r="A415" s="14"/>
      <c r="B415" s="14"/>
    </row>
    <row r="416" customFormat="false" ht="13.5" hidden="false" customHeight="false" outlineLevel="0" collapsed="false">
      <c r="A416" s="14"/>
      <c r="B416" s="14"/>
    </row>
    <row r="417" customFormat="false" ht="13.5" hidden="false" customHeight="false" outlineLevel="0" collapsed="false">
      <c r="A417" s="14"/>
      <c r="B417" s="14"/>
    </row>
    <row r="418" customFormat="false" ht="13.5" hidden="false" customHeight="false" outlineLevel="0" collapsed="false">
      <c r="A418" s="14"/>
      <c r="B418" s="14"/>
    </row>
    <row r="419" customFormat="false" ht="13.5" hidden="false" customHeight="false" outlineLevel="0" collapsed="false">
      <c r="A419" s="14"/>
      <c r="B419" s="14"/>
    </row>
    <row r="420" customFormat="false" ht="13.5" hidden="false" customHeight="false" outlineLevel="0" collapsed="false">
      <c r="A420" s="14"/>
      <c r="B420" s="14"/>
    </row>
    <row r="421" customFormat="false" ht="13.5" hidden="false" customHeight="false" outlineLevel="0" collapsed="false">
      <c r="A421" s="14"/>
      <c r="B421" s="14"/>
    </row>
    <row r="422" customFormat="false" ht="13.5" hidden="false" customHeight="false" outlineLevel="0" collapsed="false">
      <c r="A422" s="14"/>
      <c r="B422" s="14"/>
    </row>
    <row r="423" customFormat="false" ht="13.5" hidden="false" customHeight="false" outlineLevel="0" collapsed="false">
      <c r="A423" s="14"/>
      <c r="B423" s="14"/>
    </row>
    <row r="424" customFormat="false" ht="13.5" hidden="false" customHeight="false" outlineLevel="0" collapsed="false">
      <c r="A424" s="14"/>
      <c r="B424" s="14"/>
    </row>
    <row r="425" customFormat="false" ht="13.5" hidden="false" customHeight="false" outlineLevel="0" collapsed="false">
      <c r="A425" s="14"/>
      <c r="B425" s="14"/>
    </row>
    <row r="426" customFormat="false" ht="13.5" hidden="false" customHeight="false" outlineLevel="0" collapsed="false">
      <c r="A426" s="14"/>
      <c r="B426" s="14"/>
    </row>
    <row r="427" customFormat="false" ht="13.5" hidden="false" customHeight="false" outlineLevel="0" collapsed="false">
      <c r="A427" s="14"/>
      <c r="B427" s="14"/>
    </row>
    <row r="428" customFormat="false" ht="13.5" hidden="false" customHeight="false" outlineLevel="0" collapsed="false">
      <c r="A428" s="14"/>
      <c r="B428" s="14"/>
    </row>
    <row r="429" customFormat="false" ht="13.5" hidden="false" customHeight="false" outlineLevel="0" collapsed="false">
      <c r="A429" s="14"/>
      <c r="B429" s="14"/>
    </row>
    <row r="430" customFormat="false" ht="13.5" hidden="false" customHeight="false" outlineLevel="0" collapsed="false">
      <c r="A430" s="14"/>
      <c r="B430" s="14"/>
    </row>
    <row r="431" customFormat="false" ht="13.5" hidden="false" customHeight="false" outlineLevel="0" collapsed="false">
      <c r="A431" s="14"/>
      <c r="B431" s="14"/>
    </row>
    <row r="432" customFormat="false" ht="13.5" hidden="false" customHeight="false" outlineLevel="0" collapsed="false">
      <c r="A432" s="14"/>
      <c r="B432" s="14"/>
    </row>
    <row r="433" customFormat="false" ht="13.5" hidden="false" customHeight="false" outlineLevel="0" collapsed="false">
      <c r="A433" s="14"/>
      <c r="B433" s="14"/>
    </row>
    <row r="434" customFormat="false" ht="13.5" hidden="false" customHeight="false" outlineLevel="0" collapsed="false">
      <c r="A434" s="14"/>
      <c r="B434" s="14"/>
    </row>
    <row r="435" customFormat="false" ht="13.5" hidden="false" customHeight="false" outlineLevel="0" collapsed="false">
      <c r="A435" s="14"/>
      <c r="B435" s="14"/>
    </row>
    <row r="436" customFormat="false" ht="13.5" hidden="false" customHeight="false" outlineLevel="0" collapsed="false">
      <c r="A436" s="14"/>
      <c r="B436" s="14"/>
    </row>
    <row r="437" customFormat="false" ht="13.5" hidden="false" customHeight="false" outlineLevel="0" collapsed="false">
      <c r="A437" s="14"/>
      <c r="B437" s="14"/>
    </row>
    <row r="438" customFormat="false" ht="13.5" hidden="false" customHeight="false" outlineLevel="0" collapsed="false">
      <c r="A438" s="14"/>
      <c r="B438" s="14"/>
    </row>
    <row r="439" customFormat="false" ht="13.5" hidden="false" customHeight="false" outlineLevel="0" collapsed="false">
      <c r="A439" s="14"/>
      <c r="B439" s="14"/>
    </row>
    <row r="440" customFormat="false" ht="13.5" hidden="false" customHeight="false" outlineLevel="0" collapsed="false">
      <c r="A440" s="14"/>
      <c r="B440" s="14"/>
    </row>
    <row r="441" customFormat="false" ht="13.5" hidden="false" customHeight="false" outlineLevel="0" collapsed="false">
      <c r="A441" s="14"/>
      <c r="B441" s="14"/>
    </row>
    <row r="442" customFormat="false" ht="13.5" hidden="false" customHeight="false" outlineLevel="0" collapsed="false">
      <c r="A442" s="14"/>
      <c r="B442" s="14"/>
    </row>
    <row r="443" customFormat="false" ht="13.5" hidden="false" customHeight="false" outlineLevel="0" collapsed="false">
      <c r="A443" s="14"/>
      <c r="B443" s="14"/>
    </row>
    <row r="444" customFormat="false" ht="13.5" hidden="false" customHeight="false" outlineLevel="0" collapsed="false">
      <c r="A444" s="14"/>
      <c r="B444" s="14"/>
    </row>
    <row r="445" customFormat="false" ht="13.5" hidden="false" customHeight="false" outlineLevel="0" collapsed="false">
      <c r="A445" s="14"/>
      <c r="B445" s="14"/>
    </row>
    <row r="446" customFormat="false" ht="13.5" hidden="false" customHeight="false" outlineLevel="0" collapsed="false">
      <c r="A446" s="14"/>
      <c r="B446" s="14"/>
    </row>
    <row r="447" customFormat="false" ht="13.5" hidden="false" customHeight="false" outlineLevel="0" collapsed="false">
      <c r="A447" s="14"/>
      <c r="B447" s="14"/>
    </row>
    <row r="448" customFormat="false" ht="13.5" hidden="false" customHeight="false" outlineLevel="0" collapsed="false">
      <c r="A448" s="14"/>
      <c r="B448" s="14"/>
    </row>
    <row r="449" customFormat="false" ht="13.5" hidden="false" customHeight="false" outlineLevel="0" collapsed="false">
      <c r="A449" s="14"/>
      <c r="B449" s="14"/>
    </row>
    <row r="450" customFormat="false" ht="13.5" hidden="false" customHeight="false" outlineLevel="0" collapsed="false">
      <c r="A450" s="14"/>
      <c r="B450" s="14"/>
    </row>
    <row r="451" customFormat="false" ht="13.5" hidden="false" customHeight="false" outlineLevel="0" collapsed="false">
      <c r="A451" s="14"/>
      <c r="B451" s="14"/>
    </row>
    <row r="452" customFormat="false" ht="13.5" hidden="false" customHeight="false" outlineLevel="0" collapsed="false">
      <c r="A452" s="14"/>
      <c r="B452" s="14"/>
    </row>
    <row r="453" customFormat="false" ht="13.5" hidden="false" customHeight="false" outlineLevel="0" collapsed="false">
      <c r="A453" s="14"/>
      <c r="B453" s="14"/>
    </row>
    <row r="454" customFormat="false" ht="13.5" hidden="false" customHeight="false" outlineLevel="0" collapsed="false">
      <c r="A454" s="14"/>
      <c r="B454" s="14"/>
    </row>
    <row r="455" customFormat="false" ht="13.5" hidden="false" customHeight="false" outlineLevel="0" collapsed="false">
      <c r="A455" s="14"/>
      <c r="B455" s="14"/>
    </row>
    <row r="456" customFormat="false" ht="13.5" hidden="false" customHeight="false" outlineLevel="0" collapsed="false">
      <c r="A456" s="14"/>
      <c r="B456" s="14"/>
    </row>
    <row r="457" customFormat="false" ht="13.5" hidden="false" customHeight="false" outlineLevel="0" collapsed="false">
      <c r="A457" s="14"/>
      <c r="B457" s="14"/>
    </row>
    <row r="458" customFormat="false" ht="13.5" hidden="false" customHeight="false" outlineLevel="0" collapsed="false">
      <c r="A458" s="14"/>
      <c r="B458" s="14"/>
    </row>
    <row r="459" customFormat="false" ht="13.5" hidden="false" customHeight="false" outlineLevel="0" collapsed="false">
      <c r="A459" s="14"/>
      <c r="B459" s="14"/>
    </row>
    <row r="460" customFormat="false" ht="13.5" hidden="false" customHeight="false" outlineLevel="0" collapsed="false">
      <c r="A460" s="14"/>
      <c r="B460" s="14"/>
    </row>
    <row r="461" customFormat="false" ht="13.5" hidden="false" customHeight="false" outlineLevel="0" collapsed="false">
      <c r="A461" s="14"/>
      <c r="B461" s="14"/>
    </row>
    <row r="462" customFormat="false" ht="13.5" hidden="false" customHeight="false" outlineLevel="0" collapsed="false">
      <c r="A462" s="14"/>
      <c r="B462" s="14"/>
    </row>
    <row r="463" customFormat="false" ht="13.5" hidden="false" customHeight="false" outlineLevel="0" collapsed="false">
      <c r="A463" s="14"/>
      <c r="B463" s="14"/>
    </row>
    <row r="464" customFormat="false" ht="13.5" hidden="false" customHeight="false" outlineLevel="0" collapsed="false">
      <c r="A464" s="14"/>
      <c r="B464" s="14"/>
    </row>
    <row r="465" customFormat="false" ht="13.5" hidden="false" customHeight="false" outlineLevel="0" collapsed="false">
      <c r="A465" s="14"/>
      <c r="B465" s="14"/>
    </row>
    <row r="466" customFormat="false" ht="13.5" hidden="false" customHeight="false" outlineLevel="0" collapsed="false">
      <c r="A466" s="14"/>
      <c r="B466" s="14"/>
    </row>
    <row r="467" customFormat="false" ht="13.5" hidden="false" customHeight="false" outlineLevel="0" collapsed="false">
      <c r="A467" s="14"/>
      <c r="B467" s="14"/>
    </row>
    <row r="468" customFormat="false" ht="13.5" hidden="false" customHeight="false" outlineLevel="0" collapsed="false">
      <c r="A468" s="14"/>
      <c r="B468" s="14"/>
    </row>
    <row r="469" customFormat="false" ht="13.5" hidden="false" customHeight="false" outlineLevel="0" collapsed="false">
      <c r="A469" s="14"/>
      <c r="B469" s="14"/>
    </row>
    <row r="470" customFormat="false" ht="13.5" hidden="false" customHeight="false" outlineLevel="0" collapsed="false">
      <c r="A470" s="14"/>
      <c r="B470" s="14"/>
    </row>
    <row r="471" customFormat="false" ht="13.5" hidden="false" customHeight="false" outlineLevel="0" collapsed="false">
      <c r="A471" s="14"/>
      <c r="B471" s="14"/>
    </row>
    <row r="472" customFormat="false" ht="13.5" hidden="false" customHeight="false" outlineLevel="0" collapsed="false">
      <c r="A472" s="14"/>
      <c r="B472" s="14"/>
    </row>
    <row r="473" customFormat="false" ht="13.5" hidden="false" customHeight="false" outlineLevel="0" collapsed="false">
      <c r="A473" s="14"/>
      <c r="B473" s="14"/>
    </row>
    <row r="474" customFormat="false" ht="13.5" hidden="false" customHeight="false" outlineLevel="0" collapsed="false">
      <c r="A474" s="14"/>
      <c r="B474" s="14"/>
    </row>
    <row r="475" customFormat="false" ht="13.5" hidden="false" customHeight="false" outlineLevel="0" collapsed="false">
      <c r="A475" s="14"/>
      <c r="B475" s="14"/>
    </row>
    <row r="476" customFormat="false" ht="13.5" hidden="false" customHeight="false" outlineLevel="0" collapsed="false">
      <c r="A476" s="14"/>
      <c r="B476" s="14"/>
    </row>
    <row r="477" customFormat="false" ht="13.5" hidden="false" customHeight="false" outlineLevel="0" collapsed="false">
      <c r="A477" s="14"/>
      <c r="B477" s="14"/>
    </row>
    <row r="478" customFormat="false" ht="13.5" hidden="false" customHeight="false" outlineLevel="0" collapsed="false">
      <c r="A478" s="14"/>
      <c r="B478" s="14"/>
    </row>
    <row r="479" customFormat="false" ht="13.5" hidden="false" customHeight="false" outlineLevel="0" collapsed="false">
      <c r="A479" s="14"/>
      <c r="B479" s="14"/>
    </row>
    <row r="480" customFormat="false" ht="13.5" hidden="false" customHeight="false" outlineLevel="0" collapsed="false">
      <c r="A480" s="14"/>
      <c r="B480" s="14"/>
    </row>
    <row r="481" customFormat="false" ht="13.5" hidden="false" customHeight="false" outlineLevel="0" collapsed="false">
      <c r="A481" s="14"/>
      <c r="B481" s="14"/>
    </row>
    <row r="482" customFormat="false" ht="13.5" hidden="false" customHeight="false" outlineLevel="0" collapsed="false">
      <c r="A482" s="14"/>
      <c r="B482" s="14"/>
    </row>
    <row r="483" customFormat="false" ht="13.5" hidden="false" customHeight="false" outlineLevel="0" collapsed="false">
      <c r="A483" s="14"/>
      <c r="B483" s="14"/>
    </row>
    <row r="484" customFormat="false" ht="13.5" hidden="false" customHeight="false" outlineLevel="0" collapsed="false">
      <c r="A484" s="14"/>
      <c r="B484" s="14"/>
    </row>
    <row r="485" customFormat="false" ht="13.5" hidden="false" customHeight="false" outlineLevel="0" collapsed="false">
      <c r="A485" s="14"/>
      <c r="B485" s="14"/>
    </row>
    <row r="486" customFormat="false" ht="13.5" hidden="false" customHeight="false" outlineLevel="0" collapsed="false">
      <c r="A486" s="14"/>
      <c r="B486" s="14"/>
    </row>
    <row r="487" customFormat="false" ht="13.5" hidden="false" customHeight="false" outlineLevel="0" collapsed="false">
      <c r="A487" s="14"/>
      <c r="B487" s="14"/>
    </row>
    <row r="488" customFormat="false" ht="13.5" hidden="false" customHeight="false" outlineLevel="0" collapsed="false">
      <c r="A488" s="14"/>
      <c r="B488" s="14"/>
    </row>
    <row r="489" customFormat="false" ht="13.5" hidden="false" customHeight="false" outlineLevel="0" collapsed="false">
      <c r="A489" s="14"/>
      <c r="B489" s="14"/>
    </row>
    <row r="490" customFormat="false" ht="13.5" hidden="false" customHeight="false" outlineLevel="0" collapsed="false">
      <c r="A490" s="14"/>
      <c r="B490" s="14"/>
    </row>
    <row r="491" customFormat="false" ht="13.5" hidden="false" customHeight="false" outlineLevel="0" collapsed="false">
      <c r="A491" s="14"/>
      <c r="B491" s="14"/>
    </row>
    <row r="492" customFormat="false" ht="13.5" hidden="false" customHeight="false" outlineLevel="0" collapsed="false">
      <c r="A492" s="14"/>
      <c r="B492" s="14"/>
    </row>
    <row r="493" customFormat="false" ht="13.5" hidden="false" customHeight="false" outlineLevel="0" collapsed="false">
      <c r="A493" s="14"/>
      <c r="B493" s="14"/>
    </row>
    <row r="494" customFormat="false" ht="13.5" hidden="false" customHeight="false" outlineLevel="0" collapsed="false">
      <c r="A494" s="14"/>
      <c r="B494" s="14"/>
    </row>
    <row r="495" customFormat="false" ht="13.5" hidden="false" customHeight="false" outlineLevel="0" collapsed="false">
      <c r="A495" s="14"/>
      <c r="B495" s="14"/>
    </row>
    <row r="496" customFormat="false" ht="13.5" hidden="false" customHeight="false" outlineLevel="0" collapsed="false">
      <c r="A496" s="14"/>
      <c r="B496" s="14"/>
    </row>
    <row r="497" customFormat="false" ht="13.5" hidden="false" customHeight="false" outlineLevel="0" collapsed="false">
      <c r="A497" s="14"/>
      <c r="B497" s="14"/>
    </row>
    <row r="498" customFormat="false" ht="13.5" hidden="false" customHeight="false" outlineLevel="0" collapsed="false">
      <c r="A498" s="14"/>
      <c r="B498" s="14"/>
    </row>
    <row r="499" customFormat="false" ht="13.5" hidden="false" customHeight="false" outlineLevel="0" collapsed="false">
      <c r="A499" s="14"/>
      <c r="B499" s="14"/>
    </row>
    <row r="500" customFormat="false" ht="13.5" hidden="false" customHeight="false" outlineLevel="0" collapsed="false">
      <c r="A500" s="14"/>
      <c r="B500" s="14"/>
    </row>
  </sheetData>
  <autoFilter ref="A3:I38"/>
  <dataValidations count="2">
    <dataValidation allowBlank="true" errorStyle="stop" operator="between" showDropDown="false" showErrorMessage="false" showInputMessage="false" sqref="A4:A500" type="list">
      <formula1>Governorates!$A$5:$A$60</formula1>
      <formula2>0</formula2>
    </dataValidation>
    <dataValidation allowBlank="true" errorStyle="stop" operator="between" showDropDown="false" showErrorMessage="false" showInputMessage="false" sqref="B4:B500" type="list">
      <formula1>Sectors!$A$5:$A$60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4" activeCellId="0" sqref="B4"/>
    </sheetView>
  </sheetViews>
  <sheetFormatPr defaultColWidth="8.6171875" defaultRowHeight="13.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4" min="4" style="0" width="27"/>
    <col collapsed="false" customWidth="true" hidden="false" outlineLevel="0" max="5" min="5" style="0" width="28"/>
    <col collapsed="false" customWidth="true" hidden="false" outlineLevel="0" max="7" min="6" style="0" width="42"/>
    <col collapsed="false" customWidth="true" hidden="false" outlineLevel="0" max="8" min="8" style="0" width="26"/>
    <col collapsed="false" customWidth="true" hidden="false" outlineLevel="0" max="9" min="9" style="0" width="13"/>
  </cols>
  <sheetData>
    <row r="1" customFormat="false" ht="13.5" hidden="false" customHeight="false" outlineLevel="0" collapsed="false">
      <c r="A1" s="0" t="s">
        <v>19</v>
      </c>
    </row>
    <row r="3" customFormat="false" ht="13.5" hidden="false" customHeight="false" outlineLevel="0" collapsed="false">
      <c r="A3" s="6" t="s">
        <v>54</v>
      </c>
      <c r="B3" s="6" t="s">
        <v>182</v>
      </c>
      <c r="C3" s="6" t="s">
        <v>183</v>
      </c>
      <c r="D3" s="6" t="s">
        <v>184</v>
      </c>
      <c r="E3" s="6" t="s">
        <v>185</v>
      </c>
      <c r="F3" s="6" t="s">
        <v>186</v>
      </c>
      <c r="G3" s="6" t="s">
        <v>187</v>
      </c>
      <c r="H3" s="6" t="s">
        <v>188</v>
      </c>
      <c r="I3" s="6" t="s">
        <v>189</v>
      </c>
    </row>
    <row r="4" customFormat="false" ht="13.5" hidden="false" customHeight="false" outlineLevel="0" collapsed="false">
      <c r="A4" s="0" t="s">
        <v>190</v>
      </c>
      <c r="B4" s="0" t="s">
        <v>52</v>
      </c>
      <c r="C4" s="0" t="s">
        <v>53</v>
      </c>
      <c r="D4" s="0" t="s">
        <v>191</v>
      </c>
      <c r="E4" s="0" t="s">
        <v>192</v>
      </c>
      <c r="F4" s="0" t="s">
        <v>193</v>
      </c>
      <c r="G4" s="0" t="s">
        <v>194</v>
      </c>
      <c r="H4" s="0" t="s">
        <v>195</v>
      </c>
      <c r="I4" s="0" t="s">
        <v>196</v>
      </c>
    </row>
    <row r="5" customFormat="false" ht="13.5" hidden="false" customHeight="false" outlineLevel="0" collapsed="false">
      <c r="A5" s="0" t="s">
        <v>197</v>
      </c>
      <c r="I5" s="0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4" min="3" style="0" width="15"/>
    <col collapsed="false" customWidth="true" hidden="false" outlineLevel="0" max="5" min="5" style="0" width="16"/>
    <col collapsed="false" customWidth="true" hidden="false" outlineLevel="0" max="7" min="6" style="0" width="17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7" t="s">
        <v>21</v>
      </c>
    </row>
    <row r="3" customFormat="false" ht="15" hidden="false" customHeight="false" outlineLevel="0" collapsed="false">
      <c r="A3" s="2" t="s">
        <v>140</v>
      </c>
      <c r="B3" s="2" t="s">
        <v>144</v>
      </c>
      <c r="C3" s="2" t="s">
        <v>176</v>
      </c>
      <c r="D3" s="2" t="s">
        <v>177</v>
      </c>
      <c r="E3" s="2" t="s">
        <v>181</v>
      </c>
      <c r="F3" s="2" t="s">
        <v>178</v>
      </c>
      <c r="G3" s="2" t="s">
        <v>179</v>
      </c>
      <c r="H3" s="2" t="s">
        <v>172</v>
      </c>
    </row>
    <row r="4" customFormat="false" ht="15" hidden="false" customHeight="false" outlineLevel="0" collapsed="false">
      <c r="A4" s="7" t="str">
        <f aca="false">Governorates!A5</f>
        <v>ABY</v>
      </c>
      <c r="B4" s="7" t="str">
        <f aca="false">Governorates!B5</f>
        <v>أبين</v>
      </c>
      <c r="C4" s="10" t="n">
        <f aca="false">SUMIFS(Allocations!$C$4:$C$500,Allocations!$A$4:$A$500,$A4)</f>
        <v>2800</v>
      </c>
      <c r="D4" s="10" t="n">
        <f aca="false">SUMIFS(Allocations!$D$4:$D$500,Allocations!$A$4:$A$500,$A4)</f>
        <v>521</v>
      </c>
      <c r="E4" s="15" t="n">
        <f aca="false">IF(C4&gt;0,D4/C4,0)</f>
        <v>0.186071428571429</v>
      </c>
      <c r="F4" s="10" t="n">
        <f aca="false">SUMIFS(Allocations!$E$4:$E$500,Allocations!$A$4:$A$500,$A4)</f>
        <v>465</v>
      </c>
      <c r="G4" s="10" t="n">
        <f aca="false">SUMIFS(Allocations!$F$4:$F$500,Allocations!$A$4:$A$500,$A4)</f>
        <v>150</v>
      </c>
      <c r="H4" s="13" t="n">
        <f aca="false">SUMIFS(Activity_Data!$C$4:$C$500,Activity_Data!$A$4:$A$500,$A4)</f>
        <v>100434.03</v>
      </c>
    </row>
    <row r="5" customFormat="false" ht="15" hidden="false" customHeight="false" outlineLevel="0" collapsed="false">
      <c r="A5" s="7" t="str">
        <f aca="false">Governorates!A6</f>
        <v>TAI</v>
      </c>
      <c r="B5" s="7" t="str">
        <f aca="false">Governorates!B6</f>
        <v>تعز</v>
      </c>
      <c r="C5" s="10" t="n">
        <f aca="false">SUMIFS(Allocations!$C$4:$C$500,Allocations!$A$4:$A$500,$A5)</f>
        <v>2800</v>
      </c>
      <c r="D5" s="10" t="n">
        <f aca="false">SUMIFS(Allocations!$D$4:$D$500,Allocations!$A$4:$A$500,$A5)</f>
        <v>242</v>
      </c>
      <c r="E5" s="15" t="n">
        <f aca="false">IF(C5&gt;0,D5/C5,0)</f>
        <v>0.0864285714285714</v>
      </c>
      <c r="F5" s="10" t="n">
        <f aca="false">SUMIFS(Allocations!$E$4:$E$500,Allocations!$A$4:$A$500,$A5)</f>
        <v>465</v>
      </c>
      <c r="G5" s="10" t="n">
        <f aca="false">SUMIFS(Allocations!$F$4:$F$500,Allocations!$A$4:$A$500,$A5)</f>
        <v>191</v>
      </c>
      <c r="H5" s="13" t="n">
        <f aca="false">SUMIFS(Activity_Data!$C$4:$C$500,Activity_Data!$A$4:$A$500,$A5)</f>
        <v>100434.03</v>
      </c>
    </row>
    <row r="6" customFormat="false" ht="15" hidden="false" customHeight="false" outlineLevel="0" collapsed="false">
      <c r="A6" s="7" t="str">
        <f aca="false">Governorates!A7</f>
        <v>DAL</v>
      </c>
      <c r="B6" s="7" t="str">
        <f aca="false">Governorates!B7</f>
        <v>الضالع</v>
      </c>
      <c r="C6" s="10" t="n">
        <f aca="false">SUMIFS(Allocations!$C$4:$C$500,Allocations!$A$4:$A$500,$A6)</f>
        <v>2750</v>
      </c>
      <c r="D6" s="10" t="n">
        <f aca="false">SUMIFS(Allocations!$D$4:$D$500,Allocations!$A$4:$A$500,$A6)</f>
        <v>1134</v>
      </c>
      <c r="E6" s="15" t="n">
        <f aca="false">IF(C6&gt;0,D6/C6,0)</f>
        <v>0.412363636363636</v>
      </c>
      <c r="F6" s="10" t="n">
        <f aca="false">SUMIFS(Allocations!$E$4:$E$500,Allocations!$A$4:$A$500,$A6)</f>
        <v>460</v>
      </c>
      <c r="G6" s="10" t="n">
        <f aca="false">SUMIFS(Allocations!$F$4:$F$500,Allocations!$A$4:$A$500,$A6)</f>
        <v>219</v>
      </c>
      <c r="H6" s="13" t="n">
        <f aca="false">SUMIFS(Activity_Data!$C$4:$C$500,Activity_Data!$A$4:$A$500,$A6)</f>
        <v>98640.54</v>
      </c>
    </row>
    <row r="7" customFormat="false" ht="15" hidden="false" customHeight="false" outlineLevel="0" collapsed="false">
      <c r="A7" s="7" t="str">
        <f aca="false">Governorates!A8</f>
        <v>HOD</v>
      </c>
      <c r="B7" s="7" t="str">
        <f aca="false">Governorates!B8</f>
        <v>الحديدة</v>
      </c>
      <c r="C7" s="10" t="n">
        <f aca="false">SUMIFS(Allocations!$C$4:$C$500,Allocations!$A$4:$A$500,$A7)</f>
        <v>3100</v>
      </c>
      <c r="D7" s="10" t="n">
        <f aca="false">SUMIFS(Allocations!$D$4:$D$500,Allocations!$A$4:$A$500,$A7)</f>
        <v>789</v>
      </c>
      <c r="E7" s="15" t="n">
        <f aca="false">IF(C7&gt;0,D7/C7,0)</f>
        <v>0.254516129032258</v>
      </c>
      <c r="F7" s="10" t="n">
        <f aca="false">SUMIFS(Allocations!$E$4:$E$500,Allocations!$A$4:$A$500,$A7)</f>
        <v>515</v>
      </c>
      <c r="G7" s="10" t="n">
        <f aca="false">SUMIFS(Allocations!$F$4:$F$500,Allocations!$A$4:$A$500,$A7)</f>
        <v>404</v>
      </c>
      <c r="H7" s="13" t="n">
        <f aca="false">SUMIFS(Activity_Data!$C$4:$C$500,Activity_Data!$A$4:$A$500,$A7)</f>
        <v>111194.81</v>
      </c>
    </row>
    <row r="8" customFormat="false" ht="15" hidden="false" customHeight="false" outlineLevel="0" collapsed="false">
      <c r="A8" s="7" t="str">
        <f aca="false">Governorates!A9</f>
        <v>SHB</v>
      </c>
      <c r="B8" s="7" t="str">
        <f aca="false">Governorates!B9</f>
        <v>شبوة</v>
      </c>
      <c r="C8" s="10" t="n">
        <f aca="false">SUMIFS(Allocations!$C$4:$C$500,Allocations!$A$4:$A$500,$A8)</f>
        <v>2750</v>
      </c>
      <c r="D8" s="10" t="n">
        <f aca="false">SUMIFS(Allocations!$D$4:$D$500,Allocations!$A$4:$A$500,$A8)</f>
        <v>0</v>
      </c>
      <c r="E8" s="15" t="n">
        <f aca="false">IF(C8&gt;0,D8/C8,0)</f>
        <v>0</v>
      </c>
      <c r="F8" s="10" t="n">
        <f aca="false">SUMIFS(Allocations!$E$4:$E$500,Allocations!$A$4:$A$500,$A8)</f>
        <v>460</v>
      </c>
      <c r="G8" s="10" t="n">
        <f aca="false">SUMIFS(Allocations!$F$4:$F$500,Allocations!$A$4:$A$500,$A8)</f>
        <v>0</v>
      </c>
      <c r="H8" s="13" t="n">
        <f aca="false">SUMIFS(Activity_Data!$C$4:$C$500,Activity_Data!$A$4:$A$500,$A8)</f>
        <v>98640.54</v>
      </c>
    </row>
    <row r="9" customFormat="false" ht="15" hidden="false" customHeight="false" outlineLevel="0" collapsed="false">
      <c r="A9" s="7" t="str">
        <f aca="false">Governorates!A10</f>
        <v>ADE</v>
      </c>
      <c r="B9" s="7" t="str">
        <f aca="false">Governorates!B10</f>
        <v>عدن</v>
      </c>
      <c r="C9" s="10" t="n">
        <f aca="false">SUMIFS(Allocations!$C$4:$C$500,Allocations!$A$4:$A$500,$A9)</f>
        <v>2800</v>
      </c>
      <c r="D9" s="10" t="n">
        <f aca="false">SUMIFS(Allocations!$D$4:$D$500,Allocations!$A$4:$A$500,$A9)</f>
        <v>0</v>
      </c>
      <c r="E9" s="15" t="n">
        <f aca="false">IF(C9&gt;0,D9/C9,0)</f>
        <v>0</v>
      </c>
      <c r="F9" s="10" t="n">
        <f aca="false">SUMIFS(Allocations!$E$4:$E$500,Allocations!$A$4:$A$500,$A9)</f>
        <v>465</v>
      </c>
      <c r="G9" s="10" t="n">
        <f aca="false">SUMIFS(Allocations!$F$4:$F$500,Allocations!$A$4:$A$500,$A9)</f>
        <v>0</v>
      </c>
      <c r="H9" s="13" t="n">
        <f aca="false">SUMIFS(Activity_Data!$C$4:$C$500,Activity_Data!$A$4:$A$500,$A9)</f>
        <v>100434.02</v>
      </c>
    </row>
    <row r="10" customFormat="false" ht="15" hidden="false" customHeight="false" outlineLevel="0" collapsed="false">
      <c r="A10" s="7" t="str">
        <f aca="false">Governorates!A11</f>
        <v>LAH</v>
      </c>
      <c r="B10" s="7" t="str">
        <f aca="false">Governorates!B11</f>
        <v>لحج</v>
      </c>
      <c r="C10" s="10" t="n">
        <f aca="false">SUMIFS(Allocations!$C$4:$C$500,Allocations!$A$4:$A$500,$A10)</f>
        <v>2500</v>
      </c>
      <c r="D10" s="10" t="n">
        <f aca="false">SUMIFS(Allocations!$D$4:$D$500,Allocations!$A$4:$A$500,$A10)</f>
        <v>0</v>
      </c>
      <c r="E10" s="15" t="n">
        <f aca="false">IF(C10&gt;0,D10/C10,0)</f>
        <v>0</v>
      </c>
      <c r="F10" s="10" t="n">
        <f aca="false">SUMIFS(Allocations!$E$4:$E$500,Allocations!$A$4:$A$500,$A10)</f>
        <v>415</v>
      </c>
      <c r="G10" s="10" t="n">
        <f aca="false">SUMIFS(Allocations!$F$4:$F$500,Allocations!$A$4:$A$500,$A10)</f>
        <v>0</v>
      </c>
      <c r="H10" s="13" t="n">
        <f aca="false">SUMIFS(Activity_Data!$C$4:$C$500,Activity_Data!$A$4:$A$500,$A10)</f>
        <v>89673.23</v>
      </c>
    </row>
    <row r="11" customFormat="false" ht="15" hidden="false" customHeight="false" outlineLevel="0" collapsed="false">
      <c r="A11" s="16" t="s">
        <v>199</v>
      </c>
      <c r="B11" s="16"/>
      <c r="C11" s="17" t="n">
        <f aca="false">SUM(C4:C10)</f>
        <v>19500</v>
      </c>
      <c r="D11" s="17" t="n">
        <f aca="false">SUM(D4:D10)</f>
        <v>2686</v>
      </c>
      <c r="E11" s="18" t="n">
        <f aca="false">IF(C11&gt;0,D11/C11,0)</f>
        <v>0.13774358974359</v>
      </c>
      <c r="F11" s="17" t="n">
        <f aca="false">SUM(F4:F10)</f>
        <v>3245</v>
      </c>
      <c r="G11" s="17" t="n">
        <f aca="false">SUM(G4:G10)</f>
        <v>964</v>
      </c>
      <c r="H11" s="19" t="n">
        <f aca="false">SUM(H4:H10)</f>
        <v>699451.2</v>
      </c>
    </row>
    <row r="13" customFormat="false" ht="15" hidden="false" customHeight="false" outlineLevel="0" collapsed="false">
      <c r="A13" s="20" t="s">
        <v>200</v>
      </c>
    </row>
    <row r="14" customFormat="false" ht="15" hidden="false" customHeight="false" outlineLevel="0" collapsed="false">
      <c r="A14" s="2" t="s">
        <v>105</v>
      </c>
      <c r="B14" s="2" t="s">
        <v>180</v>
      </c>
      <c r="C14" s="2" t="s">
        <v>176</v>
      </c>
      <c r="D14" s="2" t="s">
        <v>177</v>
      </c>
      <c r="E14" s="2" t="s">
        <v>181</v>
      </c>
      <c r="F14" s="2" t="s">
        <v>178</v>
      </c>
      <c r="G14" s="2" t="s">
        <v>179</v>
      </c>
      <c r="H14" s="2" t="s">
        <v>172</v>
      </c>
    </row>
    <row r="15" customFormat="false" ht="15" hidden="false" customHeight="false" outlineLevel="0" collapsed="false">
      <c r="A15" s="7" t="str">
        <f aca="false">Sectors!A5</f>
        <v>EDU</v>
      </c>
      <c r="B15" s="7" t="str">
        <f aca="false">Sectors!B5</f>
        <v>التعليم</v>
      </c>
      <c r="C15" s="10" t="n">
        <f aca="false">SUMIFS(Allocations!$C$4:$C$500,Allocations!$B$4:$B$500,$A15)</f>
        <v>3900</v>
      </c>
      <c r="D15" s="10" t="n">
        <f aca="false">SUMIFS(Allocations!$D$4:$D$500,Allocations!$B$4:$B$500,$A15)</f>
        <v>417</v>
      </c>
      <c r="E15" s="15" t="n">
        <f aca="false">IF(C15&gt;0,D15/C15,0)</f>
        <v>0.106923076923077</v>
      </c>
      <c r="F15" s="10" t="n">
        <f aca="false">SUMIFS(Allocations!$E$4:$E$500,Allocations!$B$4:$B$500,$A15)</f>
        <v>649</v>
      </c>
      <c r="G15" s="10" t="n">
        <f aca="false">SUMIFS(Allocations!$F$4:$F$500,Allocations!$B$4:$B$500,$A15)</f>
        <v>143</v>
      </c>
      <c r="H15" s="13" t="n">
        <f aca="false">SUMIFS(Activity_Data!$C$4:$C$500,Activity_Data!$I$4:$I$500,$A15)</f>
        <v>385119</v>
      </c>
    </row>
    <row r="16" customFormat="false" ht="15" hidden="false" customHeight="false" outlineLevel="0" collapsed="false">
      <c r="A16" s="7" t="str">
        <f aca="false">Sectors!A6</f>
        <v>CP</v>
      </c>
      <c r="B16" s="7" t="str">
        <f aca="false">Sectors!B6</f>
        <v>حماية الطفل</v>
      </c>
      <c r="C16" s="10" t="n">
        <f aca="false">SUMIFS(Allocations!$C$4:$C$500,Allocations!$B$4:$B$500,$A16)</f>
        <v>3900</v>
      </c>
      <c r="D16" s="10" t="n">
        <f aca="false">SUMIFS(Allocations!$D$4:$D$500,Allocations!$B$4:$B$500,$A16)</f>
        <v>832</v>
      </c>
      <c r="E16" s="15" t="n">
        <f aca="false">IF(C16&gt;0,D16/C16,0)</f>
        <v>0.213333333333333</v>
      </c>
      <c r="F16" s="10" t="n">
        <f aca="false">SUMIFS(Allocations!$E$4:$E$500,Allocations!$B$4:$B$500,$A16)</f>
        <v>649</v>
      </c>
      <c r="G16" s="10" t="n">
        <f aca="false">SUMIFS(Allocations!$F$4:$F$500,Allocations!$B$4:$B$500,$A16)</f>
        <v>147</v>
      </c>
      <c r="H16" s="13" t="n">
        <f aca="false">SUMIFS(Activity_Data!$C$4:$C$500,Activity_Data!$I$4:$I$500,$A16)</f>
        <v>203065</v>
      </c>
    </row>
    <row r="17" customFormat="false" ht="15" hidden="false" customHeight="false" outlineLevel="0" collapsed="false">
      <c r="A17" s="7" t="str">
        <f aca="false">Sectors!A7</f>
        <v>WATER</v>
      </c>
      <c r="B17" s="7" t="str">
        <f aca="false">Sectors!B7</f>
        <v>المياه</v>
      </c>
      <c r="C17" s="10" t="n">
        <f aca="false">SUMIFS(Allocations!$C$4:$C$500,Allocations!$B$4:$B$500,$A17)</f>
        <v>3900</v>
      </c>
      <c r="D17" s="10" t="n">
        <f aca="false">SUMIFS(Allocations!$D$4:$D$500,Allocations!$B$4:$B$500,$A17)</f>
        <v>870</v>
      </c>
      <c r="E17" s="15" t="n">
        <f aca="false">IF(C17&gt;0,D17/C17,0)</f>
        <v>0.223076923076923</v>
      </c>
      <c r="F17" s="10" t="n">
        <f aca="false">SUMIFS(Allocations!$E$4:$E$500,Allocations!$B$4:$B$500,$A17)</f>
        <v>649</v>
      </c>
      <c r="G17" s="10" t="n">
        <f aca="false">SUMIFS(Allocations!$F$4:$F$500,Allocations!$B$4:$B$500,$A17)</f>
        <v>218</v>
      </c>
      <c r="H17" s="13" t="n">
        <f aca="false">SUMIFS(Activity_Data!$C$4:$C$500,Activity_Data!$I$4:$I$500,$A17)</f>
        <v>71706.2</v>
      </c>
    </row>
    <row r="18" customFormat="false" ht="15" hidden="false" customHeight="false" outlineLevel="0" collapsed="false">
      <c r="A18" s="7" t="str">
        <f aca="false">Sectors!A8</f>
        <v>SAN</v>
      </c>
      <c r="B18" s="7" t="str">
        <f aca="false">Sectors!B8</f>
        <v>الإصحاح والنظافة</v>
      </c>
      <c r="C18" s="10" t="n">
        <f aca="false">SUMIFS(Allocations!$C$4:$C$500,Allocations!$B$4:$B$500,$A18)</f>
        <v>3900</v>
      </c>
      <c r="D18" s="10" t="n">
        <f aca="false">SUMIFS(Allocations!$D$4:$D$500,Allocations!$B$4:$B$500,$A18)</f>
        <v>130</v>
      </c>
      <c r="E18" s="15" t="n">
        <f aca="false">IF(C18&gt;0,D18/C18,0)</f>
        <v>0.0333333333333333</v>
      </c>
      <c r="F18" s="10" t="n">
        <f aca="false">SUMIFS(Allocations!$E$4:$E$500,Allocations!$B$4:$B$500,$A18)</f>
        <v>649</v>
      </c>
      <c r="G18" s="10" t="n">
        <f aca="false">SUMIFS(Allocations!$F$4:$F$500,Allocations!$B$4:$B$500,$A18)</f>
        <v>221</v>
      </c>
      <c r="H18" s="13" t="n">
        <f aca="false">SUMIFS(Activity_Data!$C$4:$C$500,Activity_Data!$I$4:$I$500,$A18)</f>
        <v>12900</v>
      </c>
    </row>
    <row r="19" customFormat="false" ht="15" hidden="false" customHeight="false" outlineLevel="0" collapsed="false">
      <c r="A19" s="7" t="str">
        <f aca="false">Sectors!A9</f>
        <v>SBC</v>
      </c>
      <c r="B19" s="7" t="str">
        <f aca="false">Sectors!B9</f>
        <v>التغيير الاجتماعي والسلوكي</v>
      </c>
      <c r="C19" s="10" t="n">
        <f aca="false">SUMIFS(Allocations!$C$4:$C$500,Allocations!$B$4:$B$500,$A19)</f>
        <v>3900</v>
      </c>
      <c r="D19" s="10" t="n">
        <f aca="false">SUMIFS(Allocations!$D$4:$D$500,Allocations!$B$4:$B$500,$A19)</f>
        <v>437</v>
      </c>
      <c r="E19" s="15" t="n">
        <f aca="false">IF(C19&gt;0,D19/C19,0)</f>
        <v>0.112051282051282</v>
      </c>
      <c r="F19" s="10" t="n">
        <f aca="false">SUMIFS(Allocations!$E$4:$E$500,Allocations!$B$4:$B$500,$A19)</f>
        <v>649</v>
      </c>
      <c r="G19" s="10" t="n">
        <f aca="false">SUMIFS(Allocations!$F$4:$F$500,Allocations!$B$4:$B$500,$A19)</f>
        <v>235</v>
      </c>
      <c r="H19" s="13" t="n">
        <f aca="false">SUMIFS(Activity_Data!$C$4:$C$500,Activity_Data!$I$4:$I$500,$A19)</f>
        <v>26661</v>
      </c>
    </row>
    <row r="20" customFormat="false" ht="15" hidden="false" customHeight="false" outlineLevel="0" collapsed="false">
      <c r="A20" s="16" t="s">
        <v>199</v>
      </c>
      <c r="B20" s="16"/>
      <c r="C20" s="17" t="n">
        <f aca="false">SUM(C15:C19)</f>
        <v>19500</v>
      </c>
      <c r="D20" s="17" t="n">
        <f aca="false">SUM(D15:D19)</f>
        <v>2686</v>
      </c>
      <c r="E20" s="18" t="n">
        <f aca="false">IF(C20&gt;0,D20/C20,0)</f>
        <v>0.13774358974359</v>
      </c>
      <c r="F20" s="17" t="n">
        <f aca="false">SUM(F15:F19)</f>
        <v>3245</v>
      </c>
      <c r="G20" s="17" t="n">
        <f aca="false">SUM(G15:G19)</f>
        <v>964</v>
      </c>
      <c r="H20" s="19" t="n">
        <f aca="false">SUM(H15:H19)</f>
        <v>699451.2</v>
      </c>
    </row>
    <row r="22" customFormat="false" ht="15" hidden="false" customHeight="false" outlineLevel="0" collapsed="false">
      <c r="A22" s="21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2026-10-09T22:59:43Z</dcterms:created>
  <dc:creator>openpyxl</dc:creator>
  <dc:description/>
  <dc:language>en-US</dc:language>
  <cp:lastModifiedBy>Abdullah Albasha</cp:lastModifiedBy>
  <dcterms:modified xsi:type="dcterms:W3CDTF">2026-10-10T00:30:12Z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